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Submissions" sheetId="1" state="visible" r:id="rId1"/>
    <sheet name="Agent Roster" sheetId="2" state="visible" r:id="rId2"/>
    <sheet name="Office Profiles" sheetId="3" state="visible" r:id="rId3"/>
    <sheet name="Comp Library" sheetId="4" state="visible" r:id="rId4"/>
    <sheet name="Accuracy Scorecard" sheetId="5" state="visible" r:id="rId5"/>
    <sheet name="Velocity Metrics" sheetId="6" state="visible" r:id="rId6"/>
    <sheet name="Monitoring Queue" sheetId="7" state="visible" r:id="rId7"/>
    <sheet name="Counties Referenc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i val="1"/>
      <color rgb="00888888"/>
      <sz val="7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5F8A"/>
      </patternFill>
    </fill>
    <fill>
      <patternFill patternType="solid">
        <fgColor rgb="00EAF0F6"/>
      </patternFill>
    </fill>
    <fill>
      <patternFill patternType="solid">
        <fgColor rgb="001F6B75"/>
      </patternFill>
    </fill>
    <fill>
      <patternFill patternType="solid">
        <fgColor rgb="00C9A84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164" fontId="0" fillId="7" borderId="1" pivotButton="0" quotePrefix="0" xfId="0"/>
    <xf numFmtId="0" fontId="4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Arial"/>
        <color rgb="00375623"/>
      </font>
      <fill>
        <patternFill patternType="solid">
          <fgColor rgb="00E2EFDA"/>
        </patternFill>
      </fill>
    </dxf>
    <dxf>
      <font>
        <name val="Arial"/>
        <color rgb="007D4E00"/>
      </font>
      <fill>
        <patternFill patternType="solid">
          <fgColor rgb="00FFF2CC"/>
        </patternFill>
      </fill>
    </dxf>
    <dxf>
      <font>
        <name val="Arial"/>
        <i val="1"/>
        <color rgb="00888888"/>
      </font>
      <fill>
        <patternFill patternType="solid">
          <fgColor rgb="00D9D9D9"/>
        </patternFill>
      </fill>
    </dxf>
    <dxf>
      <fill>
        <patternFill patternType="solid">
          <fgColor rgb="00D5E8F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2" customWidth="1" min="4" max="4"/>
    <col width="30" customWidth="1" min="5" max="5"/>
    <col width="16" customWidth="1" min="6" max="6"/>
    <col width="14" customWidth="1" min="7" max="7"/>
    <col width="10" customWidth="1" min="8" max="8"/>
    <col width="16" customWidth="1" min="9" max="9"/>
    <col width="20" customWidth="1" min="10" max="10"/>
    <col width="7" customWidth="1" min="11" max="11"/>
    <col width="7" customWidth="1" min="12" max="12"/>
    <col width="8" customWidth="1" min="13" max="13"/>
    <col width="12" customWidth="1" min="14" max="14"/>
    <col width="11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10" customWidth="1" min="27" max="27"/>
    <col width="16" customWidth="1" min="28" max="28"/>
    <col width="16" customWidth="1" min="29" max="29"/>
    <col width="13" customWidth="1" min="30" max="30"/>
    <col width="10" customWidth="1" min="31" max="31"/>
    <col width="14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22" customWidth="1" min="39" max="39"/>
    <col width="16" customWidth="1" min="40" max="40"/>
    <col width="16" customWidth="1" min="41" max="41"/>
    <col width="14" customWidth="1" min="42" max="42"/>
    <col width="22" customWidth="1" min="43" max="43"/>
    <col width="14" customWidth="1" min="44" max="44"/>
    <col width="12" customWidth="1" min="45" max="45"/>
    <col width="20" customWidth="1" min="46" max="46"/>
    <col width="20" customWidth="1" min="47" max="47"/>
    <col width="20" customWidth="1" min="48" max="48"/>
    <col width="18" customWidth="1" min="49" max="49"/>
    <col width="24" customWidth="1" min="50" max="50"/>
    <col width="36" customWidth="1" min="51" max="51"/>
  </cols>
  <sheetData>
    <row r="1" ht="22" customHeight="1">
      <c r="A1" s="1" t="inlineStr">
        <is>
          <t>SCG CMA SYSTEM — PROPERTY SUBMISSIONS | Agent-Facing | v7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8" t="n"/>
    </row>
    <row r="2" ht="18" customHeight="1">
      <c r="A2" s="2" t="inlineStr">
        <is>
          <t>SUBMISSION INFO</t>
        </is>
      </c>
      <c r="B2" s="7" t="n"/>
      <c r="C2" s="7" t="n"/>
      <c r="D2" s="8" t="n"/>
      <c r="E2" s="11" t="inlineStr">
        <is>
          <t>PROPERTY DETAILS CORE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8" t="n"/>
      <c r="Q2" s="9" t="inlineStr">
        <is>
          <t>YEAR LAST UPDATED</t>
        </is>
      </c>
      <c r="R2" s="7" t="n"/>
      <c r="S2" s="7" t="n"/>
      <c r="T2" s="7" t="n"/>
      <c r="U2" s="7" t="n"/>
      <c r="V2" s="7" t="n"/>
      <c r="W2" s="7" t="n"/>
      <c r="X2" s="7" t="n"/>
      <c r="Y2" s="7" t="n"/>
      <c r="Z2" s="8" t="n"/>
      <c r="AA2" s="11" t="inlineStr">
        <is>
          <t>STRUCTURE FEATURES</t>
        </is>
      </c>
      <c r="AB2" s="7" t="n"/>
      <c r="AC2" s="7" t="n"/>
      <c r="AD2" s="7" t="n"/>
      <c r="AE2" s="7" t="n"/>
      <c r="AF2" s="8" t="n"/>
      <c r="AG2" s="12" t="inlineStr">
        <is>
          <t>LOT / ACREAGE — Fill ONE option only: cols AG+AH, AI, or AJ</t>
        </is>
      </c>
      <c r="AH2" s="7" t="n"/>
      <c r="AI2" s="7" t="n"/>
      <c r="AJ2" s="7" t="n"/>
      <c r="AK2" s="7" t="n"/>
      <c r="AL2" s="7" t="n"/>
      <c r="AM2" s="8" t="n"/>
      <c r="AN2" s="16" t="inlineStr">
        <is>
          <t>RURAL / ACREAGE FIELDS — Skip if In-Town Residential</t>
        </is>
      </c>
      <c r="AS2" s="17" t="inlineStr">
        <is>
          <t>COMP SEARCH PARAMETERS</t>
        </is>
      </c>
    </row>
    <row r="3" ht="44" customHeight="1">
      <c r="A3" s="4" t="inlineStr">
        <is>
          <t>Submission ID</t>
        </is>
      </c>
      <c r="B3" s="4" t="inlineStr">
        <is>
          <t>Submission Date</t>
        </is>
      </c>
      <c r="C3" s="4" t="inlineStr">
        <is>
          <t>Agent Name</t>
        </is>
      </c>
      <c r="D3" s="4" t="inlineStr">
        <is>
          <t>Agent Email</t>
        </is>
      </c>
      <c r="E3" s="5" t="inlineStr">
        <is>
          <t>Property Address</t>
        </is>
      </c>
      <c r="F3" s="5" t="inlineStr">
        <is>
          <t>City</t>
        </is>
      </c>
      <c r="G3" s="5" t="inlineStr">
        <is>
          <t>County</t>
        </is>
      </c>
      <c r="H3" s="5" t="inlineStr">
        <is>
          <t>Zip Code</t>
        </is>
      </c>
      <c r="I3" s="5" t="inlineStr">
        <is>
          <t>Property Class</t>
        </is>
      </c>
      <c r="J3" s="5" t="inlineStr">
        <is>
          <t>Property Type</t>
        </is>
      </c>
      <c r="K3" s="5" t="inlineStr">
        <is>
          <t>Beds</t>
        </is>
      </c>
      <c r="L3" s="5" t="inlineStr">
        <is>
          <t>Baths</t>
        </is>
      </c>
      <c r="M3" s="5" t="inlineStr">
        <is>
          <t>Half Baths</t>
        </is>
      </c>
      <c r="N3" s="5" t="inlineStr">
        <is>
          <t>House Sq Ft</t>
        </is>
      </c>
      <c r="O3" s="5" t="inlineStr">
        <is>
          <t>Year Built</t>
        </is>
      </c>
      <c r="P3" s="5" t="inlineStr">
        <is>
          <t>Condition</t>
        </is>
      </c>
      <c r="Q3" s="10" t="inlineStr">
        <is>
          <t>Roof — Year Last Replaced</t>
        </is>
      </c>
      <c r="R3" s="10" t="inlineStr">
        <is>
          <t>Kitchen — Year Last Updated</t>
        </is>
      </c>
      <c r="S3" s="10" t="inlineStr">
        <is>
          <t>Bathrooms — Year Last Updated</t>
        </is>
      </c>
      <c r="T3" s="10" t="inlineStr">
        <is>
          <t>HVAC — Year Last Replaced</t>
        </is>
      </c>
      <c r="U3" s="10" t="inlineStr">
        <is>
          <t>Windows — Year Last Replaced</t>
        </is>
      </c>
      <c r="V3" s="10" t="inlineStr">
        <is>
          <t>Electrical — Year Last Updated</t>
        </is>
      </c>
      <c r="W3" s="10" t="inlineStr">
        <is>
          <t>Plumbing — Year Last Updated</t>
        </is>
      </c>
      <c r="X3" s="10" t="inlineStr">
        <is>
          <t>Flooring — Year Last Updated</t>
        </is>
      </c>
      <c r="Y3" s="10" t="inlineStr">
        <is>
          <t>Additions — Year Last Added</t>
        </is>
      </c>
      <c r="Z3" s="10" t="inlineStr">
        <is>
          <t>Other Updates</t>
        </is>
      </c>
      <c r="AA3" s="5" t="inlineStr">
        <is>
          <t>Basement</t>
        </is>
      </c>
      <c r="AB3" s="5" t="inlineStr">
        <is>
          <t>Basement Type</t>
        </is>
      </c>
      <c r="AC3" s="5" t="inlineStr">
        <is>
          <t>Garage</t>
        </is>
      </c>
      <c r="AD3" s="5" t="inlineStr">
        <is>
          <t>Stories</t>
        </is>
      </c>
      <c r="AE3" s="5" t="inlineStr">
        <is>
          <t>Central Air</t>
        </is>
      </c>
      <c r="AF3" s="5" t="inlineStr">
        <is>
          <t>Heat Type</t>
        </is>
      </c>
      <c r="AG3" s="13" t="inlineStr">
        <is>
          <t>Lot Length (ft)</t>
        </is>
      </c>
      <c r="AH3" s="13" t="inlineStr">
        <is>
          <t>Lot Width (ft)</t>
        </is>
      </c>
      <c r="AI3" s="13" t="inlineStr">
        <is>
          <t>Lot Sq Ft (direct)</t>
        </is>
      </c>
      <c r="AJ3" s="13" t="inlineStr">
        <is>
          <t>Lot Acreage (direct)</t>
        </is>
      </c>
      <c r="AK3" s="5" t="inlineStr">
        <is>
          <t>CALC: Lot Sq Ft</t>
        </is>
      </c>
      <c r="AL3" s="5" t="inlineStr">
        <is>
          <t>CALC: Lot Acres</t>
        </is>
      </c>
      <c r="AM3" s="13" t="inlineStr">
        <is>
          <t>Lot Notes</t>
        </is>
      </c>
      <c r="AN3" s="13" t="inlineStr">
        <is>
          <t>Acreage Band</t>
        </is>
      </c>
      <c r="AO3" s="13" t="inlineStr">
        <is>
          <t>Land Type</t>
        </is>
      </c>
      <c r="AP3" s="13" t="inlineStr">
        <is>
          <t>Primary Value Driver</t>
        </is>
      </c>
      <c r="AQ3" s="13" t="inlineStr">
        <is>
          <t>Outbuildings</t>
        </is>
      </c>
      <c r="AR3" s="13" t="inlineStr">
        <is>
          <t>Water Features</t>
        </is>
      </c>
      <c r="AS3" s="4" t="inlineStr">
        <is>
          <t>State</t>
        </is>
      </c>
      <c r="AT3" s="4" t="inlineStr">
        <is>
          <t>Primary Comp County</t>
        </is>
      </c>
      <c r="AU3" s="4" t="inlineStr">
        <is>
          <t>Comp County 2</t>
        </is>
      </c>
      <c r="AV3" s="4" t="inlineStr">
        <is>
          <t>Comp County 3</t>
        </is>
      </c>
      <c r="AW3" s="4" t="inlineStr">
        <is>
          <t>Requested Starting Radius</t>
        </is>
      </c>
      <c r="AX3" s="4" t="inlineStr">
        <is>
          <t>Additional City Exclusions</t>
        </is>
      </c>
      <c r="AY3" s="4" t="inlineStr">
        <is>
          <t>Agent Local Knowledge Notes</t>
        </is>
      </c>
    </row>
    <row r="4" ht="30" customHeight="1">
      <c r="A4" s="6" t="inlineStr">
        <is>
          <t>Auto — Make.com</t>
        </is>
      </c>
      <c r="B4" s="6" t="inlineStr">
        <is>
          <t>Auto — Make.com</t>
        </is>
      </c>
      <c r="C4" s="6" t="inlineStr">
        <is>
          <t>Your full name — must match Agent Roster exactly</t>
        </is>
      </c>
      <c r="D4" s="6" t="inlineStr">
        <is>
          <t>Your email address</t>
        </is>
      </c>
      <c r="E4" s="6" t="inlineStr">
        <is>
          <t>Full street address</t>
        </is>
      </c>
      <c r="F4" s="6" t="inlineStr">
        <is>
          <t>City name</t>
        </is>
      </c>
      <c r="G4" s="6" t="inlineStr">
        <is>
          <t>County name</t>
        </is>
      </c>
      <c r="H4" s="6" t="inlineStr">
        <is>
          <t>5-digit zip</t>
        </is>
      </c>
      <c r="I4" s="6" t="inlineStr">
        <is>
          <t>Select property class</t>
        </is>
      </c>
      <c r="J4" s="6" t="inlineStr">
        <is>
          <t>Select from dropdown</t>
        </is>
      </c>
      <c r="K4" s="6" t="inlineStr">
        <is>
          <t># bedrooms</t>
        </is>
      </c>
      <c r="L4" s="6" t="inlineStr">
        <is>
          <t>Full baths</t>
        </is>
      </c>
      <c r="M4" s="6" t="inlineStr">
        <is>
          <t>Half baths (0 if none)</t>
        </is>
      </c>
      <c r="N4" s="6" t="inlineStr">
        <is>
          <t>Living area sq ft from MLS</t>
        </is>
      </c>
      <c r="O4" s="6" t="inlineStr">
        <is>
          <t>4-digit year — original construction</t>
        </is>
      </c>
      <c r="P4" s="6" t="inlineStr">
        <is>
          <t>Select from dropdown</t>
        </is>
      </c>
      <c r="Q4" s="6" t="inlineStr">
        <is>
          <t>Enter year or leave blank if unknown</t>
        </is>
      </c>
      <c r="R4" s="6" t="inlineStr">
        <is>
          <t>Enter year or leave blank if unknown</t>
        </is>
      </c>
      <c r="S4" s="6" t="inlineStr">
        <is>
          <t>Enter year or leave blank if unknown</t>
        </is>
      </c>
      <c r="T4" s="6" t="inlineStr">
        <is>
          <t>Enter year or leave blank if unknown</t>
        </is>
      </c>
      <c r="U4" s="6" t="inlineStr">
        <is>
          <t>Enter year or leave blank if unknown</t>
        </is>
      </c>
      <c r="V4" s="6" t="inlineStr">
        <is>
          <t>Enter year or leave blank if unknown</t>
        </is>
      </c>
      <c r="W4" s="6" t="inlineStr">
        <is>
          <t>Enter year or leave blank if unknown</t>
        </is>
      </c>
      <c r="X4" s="6" t="inlineStr">
        <is>
          <t>Enter year or leave blank if unknown</t>
        </is>
      </c>
      <c r="Y4" s="6" t="inlineStr">
        <is>
          <t>Year of most recent addition or major remodel</t>
        </is>
      </c>
      <c r="Z4" s="6" t="inlineStr">
        <is>
          <t>Describe and include year</t>
        </is>
      </c>
      <c r="AA4" s="6" t="inlineStr">
        <is>
          <t>Select Yes or No</t>
        </is>
      </c>
      <c r="AB4" s="6" t="inlineStr">
        <is>
          <t>Select if Basement = Yes</t>
        </is>
      </c>
      <c r="AC4" s="6" t="inlineStr">
        <is>
          <t>Select garage type</t>
        </is>
      </c>
      <c r="AD4" s="6" t="inlineStr">
        <is>
          <t>Select number of stories</t>
        </is>
      </c>
      <c r="AE4" s="6" t="inlineStr">
        <is>
          <t>Yes or No</t>
        </is>
      </c>
      <c r="AF4" s="6" t="inlineStr">
        <is>
          <t>Select heat source</t>
        </is>
      </c>
      <c r="AG4" s="6" t="inlineStr">
        <is>
          <t>OPTION 1 — Enter length in feet only</t>
        </is>
      </c>
      <c r="AH4" s="6" t="inlineStr">
        <is>
          <t>OPTION 1 — Enter width in feet only</t>
        </is>
      </c>
      <c r="AI4" s="6" t="inlineStr">
        <is>
          <t>OPTION 2 — Enter sq ft if known</t>
        </is>
      </c>
      <c r="AJ4" s="6" t="inlineStr">
        <is>
          <t>OPTION 3 — Enter acreage if known</t>
        </is>
      </c>
      <c r="AK4" s="6" t="inlineStr">
        <is>
          <t>Auto-calculated — do not edit</t>
        </is>
      </c>
      <c r="AL4" s="6" t="inlineStr">
        <is>
          <t>Auto-calculated — do not edit</t>
        </is>
      </c>
      <c r="AM4" s="6" t="inlineStr">
        <is>
          <t>Corner lot, alley, oversized, etc.</t>
        </is>
      </c>
      <c r="AN4" s="6" t="inlineStr">
        <is>
          <t>Auto-assigned — do not edit</t>
        </is>
      </c>
      <c r="AO4" s="6" t="inlineStr">
        <is>
          <t>RURAL ONLY</t>
        </is>
      </c>
      <c r="AP4" s="6" t="inlineStr">
        <is>
          <t>RURAL ONLY</t>
        </is>
      </c>
      <c r="AQ4" s="6" t="inlineStr">
        <is>
          <t>RURAL ONLY — Describe type and size</t>
        </is>
      </c>
      <c r="AR4" s="6" t="inlineStr">
        <is>
          <t>RURAL ONLY</t>
        </is>
      </c>
      <c r="AS4" s="6" t="inlineStr">
        <is>
          <t>Auto-populated from Office Profile — do not edit</t>
        </is>
      </c>
      <c r="AT4" s="6" t="inlineStr">
        <is>
          <t>Select county for comp search — required</t>
        </is>
      </c>
      <c r="AU4" s="6" t="inlineStr">
        <is>
          <t>Optional — add if property near county border</t>
        </is>
      </c>
      <c r="AV4" s="6" t="inlineStr">
        <is>
          <t>Optional — add third county if needed (e.g. Pana IL near 3 county junction)</t>
        </is>
      </c>
      <c r="AW4" s="6" t="inlineStr">
        <is>
          <t>Override system default radius if needed</t>
        </is>
      </c>
      <c r="AX4" s="6" t="inlineStr">
        <is>
          <t>Cities beyond office standard list to exclude</t>
        </is>
      </c>
      <c r="AY4" s="6" t="inlineStr">
        <is>
          <t>Anything comps won't show — gravel road, best view, new well, fiber, rebuild cost, unique features</t>
        </is>
      </c>
    </row>
    <row r="5">
      <c r="AK5" s="14">
        <f>IFERROR(IF(AND(AG5&lt;&gt;"",AH5&lt;&gt;""),AG5*AH5,IF(AI5&lt;&gt;"",AI5,IF(AJ5&lt;&gt;"",AJ5*43560,""))),"ERROR")</f>
        <v/>
      </c>
      <c r="AL5" s="15">
        <f>IFERROR(IF(AK5&lt;&gt;"",AK5/43560,""),"—")</f>
        <v/>
      </c>
      <c r="AN5" s="14">
        <f>IFERROR(IF(AL5="","",IF(AL5&lt;2,"Residential (&lt;2ac)",IF(AL5&lt;10,"Small Rural (2-10ac)",IF(AL5&lt;40,"Rural (10-40ac)",IF(AL5&lt;100,"Farm/Estate (40-100ac)","Large Farm (100+ac)"))))),"—")</f>
        <v/>
      </c>
    </row>
  </sheetData>
  <mergeCells count="8">
    <mergeCell ref="AA2:AF2"/>
    <mergeCell ref="A1:BV1"/>
    <mergeCell ref="E2:P2"/>
    <mergeCell ref="AN2:AR2"/>
    <mergeCell ref="A2:D2"/>
    <mergeCell ref="Q2:Z2"/>
    <mergeCell ref="AS2:AY2"/>
    <mergeCell ref="AG2:AM2"/>
  </mergeCells>
  <conditionalFormatting sqref="Q5:Q2000">
    <cfRule type="cellIs" priority="1" operator="greaterThanOrEqual" dxfId="0">
      <formula>2015</formula>
    </cfRule>
    <cfRule type="cellIs" priority="2" operator="lessThan" dxfId="1">
      <formula>2000</formula>
    </cfRule>
  </conditionalFormatting>
  <conditionalFormatting sqref="R5:R2000">
    <cfRule type="cellIs" priority="3" operator="greaterThanOrEqual" dxfId="0">
      <formula>2015</formula>
    </cfRule>
    <cfRule type="cellIs" priority="4" operator="lessThan" dxfId="1">
      <formula>2000</formula>
    </cfRule>
  </conditionalFormatting>
  <conditionalFormatting sqref="S5:S2000">
    <cfRule type="cellIs" priority="5" operator="greaterThanOrEqual" dxfId="0">
      <formula>2015</formula>
    </cfRule>
    <cfRule type="cellIs" priority="6" operator="lessThan" dxfId="1">
      <formula>2000</formula>
    </cfRule>
  </conditionalFormatting>
  <conditionalFormatting sqref="T5:T2000">
    <cfRule type="cellIs" priority="7" operator="greaterThanOrEqual" dxfId="0">
      <formula>2015</formula>
    </cfRule>
    <cfRule type="cellIs" priority="8" operator="lessThan" dxfId="1">
      <formula>2000</formula>
    </cfRule>
  </conditionalFormatting>
  <conditionalFormatting sqref="U5:U2000">
    <cfRule type="cellIs" priority="9" operator="greaterThanOrEqual" dxfId="0">
      <formula>2015</formula>
    </cfRule>
    <cfRule type="cellIs" priority="10" operator="lessThan" dxfId="1">
      <formula>2000</formula>
    </cfRule>
  </conditionalFormatting>
  <conditionalFormatting sqref="V5:V2000">
    <cfRule type="cellIs" priority="11" operator="greaterThanOrEqual" dxfId="0">
      <formula>2015</formula>
    </cfRule>
    <cfRule type="cellIs" priority="12" operator="lessThan" dxfId="1">
      <formula>2000</formula>
    </cfRule>
  </conditionalFormatting>
  <conditionalFormatting sqref="W5:W2000">
    <cfRule type="cellIs" priority="13" operator="greaterThanOrEqual" dxfId="0">
      <formula>2015</formula>
    </cfRule>
    <cfRule type="cellIs" priority="14" operator="lessThan" dxfId="1">
      <formula>2000</formula>
    </cfRule>
  </conditionalFormatting>
  <conditionalFormatting sqref="X5:X2000">
    <cfRule type="cellIs" priority="15" operator="greaterThanOrEqual" dxfId="0">
      <formula>2015</formula>
    </cfRule>
    <cfRule type="cellIs" priority="16" operator="lessThan" dxfId="1">
      <formula>2000</formula>
    </cfRule>
  </conditionalFormatting>
  <conditionalFormatting sqref="Y5:Y2000">
    <cfRule type="cellIs" priority="17" operator="greaterThanOrEqual" dxfId="0">
      <formula>2015</formula>
    </cfRule>
    <cfRule type="cellIs" priority="18" operator="lessThan" dxfId="1">
      <formula>2000</formula>
    </cfRule>
  </conditionalFormatting>
  <conditionalFormatting sqref="AB5:AB2000">
    <cfRule type="expression" priority="19" dxfId="2">
      <formula>$AA5="No"</formula>
    </cfRule>
  </conditionalFormatting>
  <conditionalFormatting sqref="AS5:AS2000">
    <cfRule type="expression" priority="20" dxfId="3">
      <formula>TRUE</formula>
    </cfRule>
  </conditionalFormatting>
  <conditionalFormatting sqref="AN5:AN2000">
    <cfRule type="expression" priority="21" dxfId="2">
      <formula>$I5="In-Town Residential"</formula>
    </cfRule>
    <cfRule type="expression" priority="22" dxfId="4">
      <formula>$I5="Rural/Acreage"</formula>
    </cfRule>
  </conditionalFormatting>
  <conditionalFormatting sqref="AO5:AO2000">
    <cfRule type="expression" priority="23" dxfId="2">
      <formula>$I5="In-Town Residential"</formula>
    </cfRule>
    <cfRule type="expression" priority="24" dxfId="4">
      <formula>$I5="Rural/Acreage"</formula>
    </cfRule>
  </conditionalFormatting>
  <conditionalFormatting sqref="AP5:AP2000">
    <cfRule type="expression" priority="25" dxfId="2">
      <formula>$I5="In-Town Residential"</formula>
    </cfRule>
    <cfRule type="expression" priority="26" dxfId="4">
      <formula>$I5="Rural/Acreage"</formula>
    </cfRule>
  </conditionalFormatting>
  <conditionalFormatting sqref="AQ5:AQ2000">
    <cfRule type="expression" priority="27" dxfId="2">
      <formula>$I5="In-Town Residential"</formula>
    </cfRule>
    <cfRule type="expression" priority="28" dxfId="4">
      <formula>$I5="Rural/Acreage"</formula>
    </cfRule>
  </conditionalFormatting>
  <conditionalFormatting sqref="AR5:AR2000">
    <cfRule type="expression" priority="29" dxfId="2">
      <formula>$I5="In-Town Residential"</formula>
    </cfRule>
    <cfRule type="expression" priority="30" dxfId="4">
      <formula>$I5="Rural/Acreage"</formula>
    </cfRule>
  </conditionalFormatting>
  <dataValidations count="13">
    <dataValidation sqref="I5:I2000" showDropDown="0" showInputMessage="0" showErrorMessage="0" allowBlank="1" type="list">
      <formula1>"In-Town Residential,Rural/Acreage"</formula1>
    </dataValidation>
    <dataValidation sqref="J5:J2000" showDropDown="0" showInputMessage="0" showErrorMessage="0" allowBlank="1" type="list">
      <formula1>"Single Family - Stick Built,Single Family - Manufactured,Condo/Townhome,Multi-Family,Farm,Land"</formula1>
    </dataValidation>
    <dataValidation sqref="P5:P2000" showDropDown="0" showInputMessage="0" showErrorMessage="0" allowBlank="1" type="list">
      <formula1>"Excellent,Good,Fair,Poor"</formula1>
    </dataValidation>
    <dataValidation sqref="AA5:AA2000" showDropDown="0" showInputMessage="0" showErrorMessage="0" allowBlank="1" type="list">
      <formula1>"Yes,No"</formula1>
    </dataValidation>
    <dataValidation sqref="AB5:AB2000" showDropDown="0" showInputMessage="0" showErrorMessage="0" allowBlank="1" type="list">
      <formula1>"Unfinished,Partially Finished,Fully Finished,Partial Basement,Cellar"</formula1>
    </dataValidation>
    <dataValidation sqref="AC5:AC2000" showDropDown="0" showInputMessage="0" showErrorMessage="0" allowBlank="1" type="list">
      <formula1>"None,1 Car Attached,2 Car Attached,3+ Car Attached,Detached,Multiple"</formula1>
    </dataValidation>
    <dataValidation sqref="AD5:AD2000" showDropDown="0" showInputMessage="0" showErrorMessage="0" allowBlank="1" type="list">
      <formula1>"Single,Multi,Split Level"</formula1>
    </dataValidation>
    <dataValidation sqref="AE5:AE2000" showDropDown="0" showInputMessage="0" showErrorMessage="0" allowBlank="1" type="list">
      <formula1>"Yes,No"</formula1>
    </dataValidation>
    <dataValidation sqref="AF5:AF2000" showDropDown="0" showInputMessage="0" showErrorMessage="0" allowBlank="1" type="list">
      <formula1>"Natural Gas,Electric,Propane,Other"</formula1>
    </dataValidation>
    <dataValidation sqref="AO5:AO2000" showDropDown="0" showInputMessage="0" showErrorMessage="0" allowBlank="1" type="list">
      <formula1>"Tillable Farmland,Timber,Pasture,Recreational,Mixed,Residential Lot"</formula1>
    </dataValidation>
    <dataValidation sqref="AP5:AP2000" showDropDown="0" showInputMessage="0" showErrorMessage="0" allowBlank="1" type="list">
      <formula1>"Land,Structure,Equal"</formula1>
    </dataValidation>
    <dataValidation sqref="AR5:AR2000" showDropDown="0" showInputMessage="0" showErrorMessage="0" allowBlank="1" type="list">
      <formula1>"None,Pond,Creek,River Frontage,Multiple"</formula1>
    </dataValidation>
    <dataValidation sqref="AW5:AW2000" showDropDown="0" showInputMessage="0" showErrorMessage="0" allowBlank="1" type="list">
      <formula1>"1 mile,2 miles,5 miles,10 miles,15 miles,20 miles,35 miles,50 miles,Let System Decide"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2026-05-08T02:16:10Z</dcterms:created>
  <dcterms:modified xsi:type="dcterms:W3CDTF">2026-05-08T02:23:52Z</dcterms:modified>
</cp:coreProperties>
</file>