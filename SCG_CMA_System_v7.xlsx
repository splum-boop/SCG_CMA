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3A5C"/>
    <outlinePr summaryBelow="1" summaryRight="1"/>
    <pageSetUpPr/>
  </sheetPr>
  <dimension ref="A1:GQ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K6" s="14">
        <f>IFERROR(IF(AND(AG6&lt;&gt;"",AH6&lt;&gt;""),AG6*AH6,IF(AI6&lt;&gt;"",AI6,IF(AJ6&lt;&gt;"",AJ6*43560,""))),"ERROR")</f>
        <v/>
      </c>
      <c r="AL6" s="15">
        <f>IFERROR(IF(AK6&lt;&gt;"",AK6/43560,""),"—")</f>
        <v/>
      </c>
      <c r="AN6" s="14">
        <f>IFERROR(IF(AL6="","",IF(AL6&lt;2,"Residential (&lt;2ac)",IF(AL6&lt;10,"Small Rural (2-10ac)",IF(AL6&lt;40,"Rural (10-40ac)",IF(AL6&lt;100,"Farm/Estate (40-100ac)","Large Farm (100+ac)"))))),"—")</f>
        <v/>
      </c>
      <c r="AZ6" s="21" t="n"/>
      <c r="BF6" s="21" t="n"/>
      <c r="BG6" s="21" t="n"/>
      <c r="BH6" s="22">
        <f>IFERROR(IF(AND(BF6&lt;&gt;"",BG6&lt;&gt;""),AVERAGE(BF6,BG6),""),"—")</f>
        <v/>
      </c>
      <c r="BK6" s="21" t="n"/>
      <c r="BM6" s="21" t="n"/>
      <c r="BN6" s="28">
        <f>IFERROR(IF(AND(BK6&lt;&gt;"",BM6&lt;&gt;""),IF(BM6&lt;BK6,1,0),""),"")</f>
        <v/>
      </c>
      <c r="BP6" s="21" t="n"/>
      <c r="BS6" s="29">
        <f>IFERROR(IF(AND(BH6&lt;&gt;"",BK6&lt;&gt;""),(BH6-BK6)/BK6,""),"—")</f>
        <v/>
      </c>
      <c r="BT6" s="29">
        <f>IFERROR(IF(AND(BH6&lt;&gt;"",BP6&lt;&gt;""),(BH6-BP6)/BP6,""),"—")</f>
        <v/>
      </c>
      <c r="BU6" s="29">
        <f>IFERROR(IF(AND(BK6&lt;&gt;"",BP6&lt;&gt;""),(BP6-BK6)/BK6,""),"—")</f>
        <v/>
      </c>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K9" s="14">
        <f>IFERROR(IF(AND(AG9&lt;&gt;"",AH9&lt;&gt;""),AG9*AH9,IF(AI9&lt;&gt;"",AI9,IF(AJ9&lt;&gt;"",AJ9*43560,""))),"ERROR")</f>
        <v/>
      </c>
      <c r="AL9" s="15">
        <f>IFERROR(IF(AK9&lt;&gt;"",AK9/43560,""),"—")</f>
        <v/>
      </c>
      <c r="AN9" s="14">
        <f>IFERROR(IF(AL9="","",IF(AL9&lt;2,"Residential (&lt;2ac)",IF(AL9&lt;10,"Small Rural (2-10ac)",IF(AL9&lt;40,"Rural (10-40ac)",IF(AL9&lt;100,"Farm/Estate (40-100ac)","Large Farm (100+ac)"))))),"—")</f>
        <v/>
      </c>
      <c r="AZ9" s="21" t="n"/>
      <c r="BF9" s="21" t="n"/>
      <c r="BG9" s="21" t="n"/>
      <c r="BH9" s="22">
        <f>IFERROR(IF(AND(BF9&lt;&gt;"",BG9&lt;&gt;""),AVERAGE(BF9,BG9),""),"—")</f>
        <v/>
      </c>
      <c r="BK9" s="21" t="n"/>
      <c r="BM9" s="21" t="n"/>
      <c r="BN9" s="28">
        <f>IFERROR(IF(AND(BK9&lt;&gt;"",BM9&lt;&gt;""),IF(BM9&lt;BK9,1,0),""),"")</f>
        <v/>
      </c>
      <c r="BP9" s="21" t="n"/>
      <c r="BS9" s="29">
        <f>IFERROR(IF(AND(BH9&lt;&gt;"",BK9&lt;&gt;""),(BH9-BK9)/BK9,""),"—")</f>
        <v/>
      </c>
      <c r="BT9" s="29">
        <f>IFERROR(IF(AND(BH9&lt;&gt;"",BP9&lt;&gt;""),(BH9-BP9)/BP9,""),"—")</f>
        <v/>
      </c>
      <c r="BU9" s="29">
        <f>IFERROR(IF(AND(BK9&lt;&gt;"",BP9&lt;&gt;""),(BP9-BK9)/BK9,""),"—")</f>
        <v/>
      </c>
    </row>
    <row r="10">
      <c r="AK10" s="14">
        <f>IFERROR(IF(AND(AG10&lt;&gt;"",AH10&lt;&gt;""),AG10*AH10,IF(AI10&lt;&gt;"",AI10,IF(AJ10&lt;&gt;"",AJ10*43560,""))),"ERROR")</f>
        <v/>
      </c>
      <c r="AL10" s="15">
        <f>IFERROR(IF(AK10&lt;&gt;"",AK10/43560,""),"—")</f>
        <v/>
      </c>
      <c r="AN10" s="14">
        <f>IFERROR(IF(AL10="","",IF(AL10&lt;2,"Residential (&lt;2ac)",IF(AL10&lt;10,"Small Rural (2-10ac)",IF(AL10&lt;40,"Rural (10-40ac)",IF(AL10&lt;100,"Farm/Estate (40-100ac)","Large Farm (100+ac)"))))),"—")</f>
        <v/>
      </c>
      <c r="AZ10" s="21" t="n"/>
      <c r="BF10" s="21" t="n"/>
      <c r="BG10" s="21" t="n"/>
      <c r="BH10" s="22">
        <f>IFERROR(IF(AND(BF10&lt;&gt;"",BG10&lt;&gt;""),AVERAGE(BF10,BG10),""),"—")</f>
        <v/>
      </c>
      <c r="BK10" s="21" t="n"/>
      <c r="BM10" s="21" t="n"/>
      <c r="BN10" s="28">
        <f>IFERROR(IF(AND(BK10&lt;&gt;"",BM10&lt;&gt;""),IF(BM10&lt;BK10,1,0),""),"")</f>
        <v/>
      </c>
      <c r="BP10" s="21" t="n"/>
      <c r="BS10" s="29">
        <f>IFERROR(IF(AND(BH10&lt;&gt;"",BK10&lt;&gt;""),(BH10-BK10)/BK10,""),"—")</f>
        <v/>
      </c>
      <c r="BT10" s="29">
        <f>IFERROR(IF(AND(BH10&lt;&gt;"",BP10&lt;&gt;""),(BH10-BP10)/BP10,""),"—")</f>
        <v/>
      </c>
      <c r="BU10" s="29">
        <f>IFERROR(IF(AND(BK10&lt;&gt;"",BP10&lt;&gt;""),(BP10-BK10)/BK10,""),"—")</f>
        <v/>
      </c>
    </row>
    <row r="11">
      <c r="AK11" s="14">
        <f>IFERROR(IF(AND(AG11&lt;&gt;"",AH11&lt;&gt;""),AG11*AH11,IF(AI11&lt;&gt;"",AI11,IF(AJ11&lt;&gt;"",AJ11*43560,""))),"ERROR")</f>
        <v/>
      </c>
      <c r="AL11" s="15">
        <f>IFERROR(IF(AK11&lt;&gt;"",AK11/43560,""),"—")</f>
        <v/>
      </c>
      <c r="AN11" s="14">
        <f>IFERROR(IF(AL11="","",IF(AL11&lt;2,"Residential (&lt;2ac)",IF(AL11&lt;10,"Small Rural (2-10ac)",IF(AL11&lt;40,"Rural (10-40ac)",IF(AL11&lt;100,"Farm/Estate (40-100ac)","Large Farm (100+ac)"))))),"—")</f>
        <v/>
      </c>
      <c r="AZ11" s="21" t="n"/>
      <c r="BF11" s="21" t="n"/>
      <c r="BG11" s="21" t="n"/>
      <c r="BH11" s="22">
        <f>IFERROR(IF(AND(BF11&lt;&gt;"",BG11&lt;&gt;""),AVERAGE(BF11,BG11),""),"—")</f>
        <v/>
      </c>
      <c r="BK11" s="21" t="n"/>
      <c r="BM11" s="21" t="n"/>
      <c r="BN11" s="28">
        <f>IFERROR(IF(AND(BK11&lt;&gt;"",BM11&lt;&gt;""),IF(BM11&lt;BK11,1,0),""),"")</f>
        <v/>
      </c>
      <c r="BP11" s="21" t="n"/>
      <c r="BS11" s="29">
        <f>IFERROR(IF(AND(BH11&lt;&gt;"",BK11&lt;&gt;""),(BH11-BK11)/BK11,""),"—")</f>
        <v/>
      </c>
      <c r="BT11" s="29">
        <f>IFERROR(IF(AND(BH11&lt;&gt;"",BP11&lt;&gt;""),(BH11-BP11)/BP11,""),"—")</f>
        <v/>
      </c>
      <c r="BU11" s="29">
        <f>IFERROR(IF(AND(BK11&lt;&gt;"",BP11&lt;&gt;""),(BP11-BK11)/BK11,""),"—")</f>
        <v/>
      </c>
    </row>
    <row r="12">
      <c r="AK12" s="14">
        <f>IFERROR(IF(AND(AG12&lt;&gt;"",AH12&lt;&gt;""),AG12*AH12,IF(AI12&lt;&gt;"",AI12,IF(AJ12&lt;&gt;"",AJ12*43560,""))),"ERROR")</f>
        <v/>
      </c>
      <c r="AL12" s="15">
        <f>IFERROR(IF(AK12&lt;&gt;"",AK12/43560,""),"—")</f>
        <v/>
      </c>
      <c r="AN12" s="14">
        <f>IFERROR(IF(AL12="","",IF(AL12&lt;2,"Residential (&lt;2ac)",IF(AL12&lt;10,"Small Rural (2-10ac)",IF(AL12&lt;40,"Rural (10-40ac)",IF(AL12&lt;100,"Farm/Estate (40-100ac)","Large Farm (100+ac)"))))),"—")</f>
        <v/>
      </c>
      <c r="AZ12" s="21" t="n"/>
      <c r="BF12" s="21" t="n"/>
      <c r="BG12" s="21" t="n"/>
      <c r="BH12" s="22">
        <f>IFERROR(IF(AND(BF12&lt;&gt;"",BG12&lt;&gt;""),AVERAGE(BF12,BG12),""),"—")</f>
        <v/>
      </c>
      <c r="BK12" s="21" t="n"/>
      <c r="BM12" s="21" t="n"/>
      <c r="BN12" s="28">
        <f>IFERROR(IF(AND(BK12&lt;&gt;"",BM12&lt;&gt;""),IF(BM12&lt;BK12,1,0),""),"")</f>
        <v/>
      </c>
      <c r="BP12" s="21" t="n"/>
      <c r="BS12" s="29">
        <f>IFERROR(IF(AND(BH12&lt;&gt;"",BK12&lt;&gt;""),(BH12-BK12)/BK12,""),"—")</f>
        <v/>
      </c>
      <c r="BT12" s="29">
        <f>IFERROR(IF(AND(BH12&lt;&gt;"",BP12&lt;&gt;""),(BH12-BP12)/BP12,""),"—")</f>
        <v/>
      </c>
      <c r="BU12" s="29">
        <f>IFERROR(IF(AND(BK12&lt;&gt;"",BP12&lt;&gt;""),(BP12-BK12)/BK12,""),"—")</f>
        <v/>
      </c>
    </row>
    <row r="13">
      <c r="AK13" s="14">
        <f>IFERROR(IF(AND(AG13&lt;&gt;"",AH13&lt;&gt;""),AG13*AH13,IF(AI13&lt;&gt;"",AI13,IF(AJ13&lt;&gt;"",AJ13*43560,""))),"ERROR")</f>
        <v/>
      </c>
      <c r="AL13" s="15">
        <f>IFERROR(IF(AK13&lt;&gt;"",AK13/43560,""),"—")</f>
        <v/>
      </c>
      <c r="AN13" s="14">
        <f>IFERROR(IF(AL13="","",IF(AL13&lt;2,"Residential (&lt;2ac)",IF(AL13&lt;10,"Small Rural (2-10ac)",IF(AL13&lt;40,"Rural (10-40ac)",IF(AL13&lt;100,"Farm/Estate (40-100ac)","Large Farm (100+ac)"))))),"—")</f>
        <v/>
      </c>
      <c r="AZ13" s="21" t="n"/>
      <c r="BF13" s="21" t="n"/>
      <c r="BG13" s="21" t="n"/>
      <c r="BH13" s="22">
        <f>IFERROR(IF(AND(BF13&lt;&gt;"",BG13&lt;&gt;""),AVERAGE(BF13,BG13),""),"—")</f>
        <v/>
      </c>
      <c r="BK13" s="21" t="n"/>
      <c r="BM13" s="21" t="n"/>
      <c r="BN13" s="28">
        <f>IFERROR(IF(AND(BK13&lt;&gt;"",BM13&lt;&gt;""),IF(BM13&lt;BK13,1,0),""),"")</f>
        <v/>
      </c>
      <c r="BP13" s="21" t="n"/>
      <c r="BS13" s="29">
        <f>IFERROR(IF(AND(BH13&lt;&gt;"",BK13&lt;&gt;""),(BH13-BK13)/BK13,""),"—")</f>
        <v/>
      </c>
      <c r="BT13" s="29">
        <f>IFERROR(IF(AND(BH13&lt;&gt;"",BP13&lt;&gt;""),(BH13-BP13)/BP13,""),"—")</f>
        <v/>
      </c>
      <c r="BU13" s="29">
        <f>IFERROR(IF(AND(BK13&lt;&gt;"",BP13&lt;&gt;""),(BP13-BK13)/BK13,""),"—")</f>
        <v/>
      </c>
    </row>
    <row r="14">
      <c r="AK14" s="14">
        <f>IFERROR(IF(AND(AG14&lt;&gt;"",AH14&lt;&gt;""),AG14*AH14,IF(AI14&lt;&gt;"",AI14,IF(AJ14&lt;&gt;"",AJ14*43560,""))),"ERROR")</f>
        <v/>
      </c>
      <c r="AL14" s="15">
        <f>IFERROR(IF(AK14&lt;&gt;"",AK14/43560,""),"—")</f>
        <v/>
      </c>
      <c r="AN14" s="14">
        <f>IFERROR(IF(AL14="","",IF(AL14&lt;2,"Residential (&lt;2ac)",IF(AL14&lt;10,"Small Rural (2-10ac)",IF(AL14&lt;40,"Rural (10-40ac)",IF(AL14&lt;100,"Farm/Estate (40-100ac)","Large Farm (100+ac)"))))),"—")</f>
        <v/>
      </c>
      <c r="AZ14" s="21" t="n"/>
      <c r="BF14" s="21" t="n"/>
      <c r="BG14" s="21" t="n"/>
      <c r="BH14" s="22">
        <f>IFERROR(IF(AND(BF14&lt;&gt;"",BG14&lt;&gt;""),AVERAGE(BF14,BG14),""),"—")</f>
        <v/>
      </c>
      <c r="BK14" s="21" t="n"/>
      <c r="BM14" s="21" t="n"/>
      <c r="BN14" s="28">
        <f>IFERROR(IF(AND(BK14&lt;&gt;"",BM14&lt;&gt;""),IF(BM14&lt;BK14,1,0),""),"")</f>
        <v/>
      </c>
      <c r="BP14" s="21" t="n"/>
      <c r="BS14" s="29">
        <f>IFERROR(IF(AND(BH14&lt;&gt;"",BK14&lt;&gt;""),(BH14-BK14)/BK14,""),"—")</f>
        <v/>
      </c>
      <c r="BT14" s="29">
        <f>IFERROR(IF(AND(BH14&lt;&gt;"",BP14&lt;&gt;""),(BH14-BP14)/BP14,""),"—")</f>
        <v/>
      </c>
      <c r="BU14" s="29">
        <f>IFERROR(IF(AND(BK14&lt;&gt;"",BP14&lt;&gt;""),(BP14-BK14)/BK14,""),"—")</f>
        <v/>
      </c>
    </row>
    <row r="15">
      <c r="AK15" s="14">
        <f>IFERROR(IF(AND(AG15&lt;&gt;"",AH15&lt;&gt;""),AG15*AH15,IF(AI15&lt;&gt;"",AI15,IF(AJ15&lt;&gt;"",AJ15*43560,""))),"ERROR")</f>
        <v/>
      </c>
      <c r="AL15" s="15">
        <f>IFERROR(IF(AK15&lt;&gt;"",AK15/43560,""),"—")</f>
        <v/>
      </c>
      <c r="AN15" s="14">
        <f>IFERROR(IF(AL15="","",IF(AL15&lt;2,"Residential (&lt;2ac)",IF(AL15&lt;10,"Small Rural (2-10ac)",IF(AL15&lt;40,"Rural (10-40ac)",IF(AL15&lt;100,"Farm/Estate (40-100ac)","Large Farm (100+ac)"))))),"—")</f>
        <v/>
      </c>
      <c r="AZ15" s="21" t="n"/>
      <c r="BF15" s="21" t="n"/>
      <c r="BG15" s="21" t="n"/>
      <c r="BH15" s="22">
        <f>IFERROR(IF(AND(BF15&lt;&gt;"",BG15&lt;&gt;""),AVERAGE(BF15,BG15),""),"—")</f>
        <v/>
      </c>
      <c r="BK15" s="21" t="n"/>
      <c r="BM15" s="21" t="n"/>
      <c r="BN15" s="28">
        <f>IFERROR(IF(AND(BK15&lt;&gt;"",BM15&lt;&gt;""),IF(BM15&lt;BK15,1,0),""),"")</f>
        <v/>
      </c>
      <c r="BP15" s="21" t="n"/>
      <c r="BS15" s="29">
        <f>IFERROR(IF(AND(BH15&lt;&gt;"",BK15&lt;&gt;""),(BH15-BK15)/BK15,""),"—")</f>
        <v/>
      </c>
      <c r="BT15" s="29">
        <f>IFERROR(IF(AND(BH15&lt;&gt;"",BP15&lt;&gt;""),(BH15-BP15)/BP15,""),"—")</f>
        <v/>
      </c>
      <c r="BU15" s="29">
        <f>IFERROR(IF(AND(BK15&lt;&gt;"",BP15&lt;&gt;""),(BP15-BK15)/BK15,""),"—")</f>
        <v/>
      </c>
    </row>
    <row r="16">
      <c r="AK16" s="14">
        <f>IFERROR(IF(AND(AG16&lt;&gt;"",AH16&lt;&gt;""),AG16*AH16,IF(AI16&lt;&gt;"",AI16,IF(AJ16&lt;&gt;"",AJ16*43560,""))),"ERROR")</f>
        <v/>
      </c>
      <c r="AL16" s="15">
        <f>IFERROR(IF(AK16&lt;&gt;"",AK16/43560,""),"—")</f>
        <v/>
      </c>
      <c r="AN16" s="14">
        <f>IFERROR(IF(AL16="","",IF(AL16&lt;2,"Residential (&lt;2ac)",IF(AL16&lt;10,"Small Rural (2-10ac)",IF(AL16&lt;40,"Rural (10-40ac)",IF(AL16&lt;100,"Farm/Estate (40-100ac)","Large Farm (100+ac)"))))),"—")</f>
        <v/>
      </c>
      <c r="AZ16" s="21" t="n"/>
      <c r="BF16" s="21" t="n"/>
      <c r="BG16" s="21" t="n"/>
      <c r="BH16" s="22">
        <f>IFERROR(IF(AND(BF16&lt;&gt;"",BG16&lt;&gt;""),AVERAGE(BF16,BG16),""),"—")</f>
        <v/>
      </c>
      <c r="BK16" s="21" t="n"/>
      <c r="BM16" s="21" t="n"/>
      <c r="BN16" s="28">
        <f>IFERROR(IF(AND(BK16&lt;&gt;"",BM16&lt;&gt;""),IF(BM16&lt;BK16,1,0),""),"")</f>
        <v/>
      </c>
      <c r="BP16" s="21" t="n"/>
      <c r="BS16" s="29">
        <f>IFERROR(IF(AND(BH16&lt;&gt;"",BK16&lt;&gt;""),(BH16-BK16)/BK16,""),"—")</f>
        <v/>
      </c>
      <c r="BT16" s="29">
        <f>IFERROR(IF(AND(BH16&lt;&gt;"",BP16&lt;&gt;""),(BH16-BP16)/BP16,""),"—")</f>
        <v/>
      </c>
      <c r="BU16" s="29">
        <f>IFERROR(IF(AND(BK16&lt;&gt;"",BP16&lt;&gt;""),(BP16-BK16)/BK16,""),"—")</f>
        <v/>
      </c>
    </row>
    <row r="17">
      <c r="AK17" s="14">
        <f>IFERROR(IF(AND(AG17&lt;&gt;"",AH17&lt;&gt;""),AG17*AH17,IF(AI17&lt;&gt;"",AI17,IF(AJ17&lt;&gt;"",AJ17*43560,""))),"ERROR")</f>
        <v/>
      </c>
      <c r="AL17" s="15">
        <f>IFERROR(IF(AK17&lt;&gt;"",AK17/43560,""),"—")</f>
        <v/>
      </c>
      <c r="AN17" s="14">
        <f>IFERROR(IF(AL17="","",IF(AL17&lt;2,"Residential (&lt;2ac)",IF(AL17&lt;10,"Small Rural (2-10ac)",IF(AL17&lt;40,"Rural (10-40ac)",IF(AL17&lt;100,"Farm/Estate (40-100ac)","Large Farm (100+ac)"))))),"—")</f>
        <v/>
      </c>
      <c r="AZ17" s="21" t="n"/>
      <c r="BF17" s="21" t="n"/>
      <c r="BG17" s="21" t="n"/>
      <c r="BH17" s="22">
        <f>IFERROR(IF(AND(BF17&lt;&gt;"",BG17&lt;&gt;""),AVERAGE(BF17,BG17),""),"—")</f>
        <v/>
      </c>
      <c r="BK17" s="21" t="n"/>
      <c r="BM17" s="21" t="n"/>
      <c r="BN17" s="28">
        <f>IFERROR(IF(AND(BK17&lt;&gt;"",BM17&lt;&gt;""),IF(BM17&lt;BK17,1,0),""),"")</f>
        <v/>
      </c>
      <c r="BP17" s="21" t="n"/>
      <c r="BS17" s="29">
        <f>IFERROR(IF(AND(BH17&lt;&gt;"",BK17&lt;&gt;""),(BH17-BK17)/BK17,""),"—")</f>
        <v/>
      </c>
      <c r="BT17" s="29">
        <f>IFERROR(IF(AND(BH17&lt;&gt;"",BP17&lt;&gt;""),(BH17-BP17)/BP17,""),"—")</f>
        <v/>
      </c>
      <c r="BU17" s="29">
        <f>IFERROR(IF(AND(BK17&lt;&gt;"",BP17&lt;&gt;""),(BP17-BK17)/BK17,""),"—")</f>
        <v/>
      </c>
    </row>
    <row r="18">
      <c r="AK18" s="14">
        <f>IFERROR(IF(AND(AG18&lt;&gt;"",AH18&lt;&gt;""),AG18*AH18,IF(AI18&lt;&gt;"",AI18,IF(AJ18&lt;&gt;"",AJ18*43560,""))),"ERROR")</f>
        <v/>
      </c>
      <c r="AL18" s="15">
        <f>IFERROR(IF(AK18&lt;&gt;"",AK18/43560,""),"—")</f>
        <v/>
      </c>
      <c r="AN18" s="14">
        <f>IFERROR(IF(AL18="","",IF(AL18&lt;2,"Residential (&lt;2ac)",IF(AL18&lt;10,"Small Rural (2-10ac)",IF(AL18&lt;40,"Rural (10-40ac)",IF(AL18&lt;100,"Farm/Estate (40-100ac)","Large Farm (100+ac)"))))),"—")</f>
        <v/>
      </c>
      <c r="AZ18" s="21" t="n"/>
      <c r="BF18" s="21" t="n"/>
      <c r="BG18" s="21" t="n"/>
      <c r="BH18" s="22">
        <f>IFERROR(IF(AND(BF18&lt;&gt;"",BG18&lt;&gt;""),AVERAGE(BF18,BG18),""),"—")</f>
        <v/>
      </c>
      <c r="BK18" s="21" t="n"/>
      <c r="BM18" s="21" t="n"/>
      <c r="BN18" s="28">
        <f>IFERROR(IF(AND(BK18&lt;&gt;"",BM18&lt;&gt;""),IF(BM18&lt;BK18,1,0),""),"")</f>
        <v/>
      </c>
      <c r="BP18" s="21" t="n"/>
      <c r="BS18" s="29">
        <f>IFERROR(IF(AND(BH18&lt;&gt;"",BK18&lt;&gt;""),(BH18-BK18)/BK18,""),"—")</f>
        <v/>
      </c>
      <c r="BT18" s="29">
        <f>IFERROR(IF(AND(BH18&lt;&gt;"",BP18&lt;&gt;""),(BH18-BP18)/BP18,""),"—")</f>
        <v/>
      </c>
      <c r="BU18" s="29">
        <f>IFERROR(IF(AND(BK18&lt;&gt;"",BP18&lt;&gt;""),(BP18-BK18)/BK18,""),"—")</f>
        <v/>
      </c>
    </row>
    <row r="19">
      <c r="AK19" s="14">
        <f>IFERROR(IF(AND(AG19&lt;&gt;"",AH19&lt;&gt;""),AG19*AH19,IF(AI19&lt;&gt;"",AI19,IF(AJ19&lt;&gt;"",AJ19*43560,""))),"ERROR")</f>
        <v/>
      </c>
      <c r="AL19" s="15">
        <f>IFERROR(IF(AK19&lt;&gt;"",AK19/43560,""),"—")</f>
        <v/>
      </c>
      <c r="AN19" s="14">
        <f>IFERROR(IF(AL19="","",IF(AL19&lt;2,"Residential (&lt;2ac)",IF(AL19&lt;10,"Small Rural (2-10ac)",IF(AL19&lt;40,"Rural (10-40ac)",IF(AL19&lt;100,"Farm/Estate (40-100ac)","Large Farm (100+ac)"))))),"—")</f>
        <v/>
      </c>
      <c r="AZ19" s="21" t="n"/>
      <c r="BF19" s="21" t="n"/>
      <c r="BG19" s="21" t="n"/>
      <c r="BH19" s="22">
        <f>IFERROR(IF(AND(BF19&lt;&gt;"",BG19&lt;&gt;""),AVERAGE(BF19,BG19),""),"—")</f>
        <v/>
      </c>
      <c r="BK19" s="21" t="n"/>
      <c r="BM19" s="21" t="n"/>
      <c r="BN19" s="28">
        <f>IFERROR(IF(AND(BK19&lt;&gt;"",BM19&lt;&gt;""),IF(BM19&lt;BK19,1,0),""),"")</f>
        <v/>
      </c>
      <c r="BP19" s="21" t="n"/>
      <c r="BS19" s="29">
        <f>IFERROR(IF(AND(BH19&lt;&gt;"",BK19&lt;&gt;""),(BH19-BK19)/BK19,""),"—")</f>
        <v/>
      </c>
      <c r="BT19" s="29">
        <f>IFERROR(IF(AND(BH19&lt;&gt;"",BP19&lt;&gt;""),(BH19-BP19)/BP19,""),"—")</f>
        <v/>
      </c>
      <c r="BU19" s="29">
        <f>IFERROR(IF(AND(BK19&lt;&gt;"",BP19&lt;&gt;""),(BP19-BK19)/BK19,""),"—")</f>
        <v/>
      </c>
    </row>
    <row r="20">
      <c r="AK20" s="14">
        <f>IFERROR(IF(AND(AG20&lt;&gt;"",AH20&lt;&gt;""),AG20*AH20,IF(AI20&lt;&gt;"",AI20,IF(AJ20&lt;&gt;"",AJ20*43560,""))),"ERROR")</f>
        <v/>
      </c>
      <c r="AL20" s="15">
        <f>IFERROR(IF(AK20&lt;&gt;"",AK20/43560,""),"—")</f>
        <v/>
      </c>
      <c r="AN20" s="14">
        <f>IFERROR(IF(AL20="","",IF(AL20&lt;2,"Residential (&lt;2ac)",IF(AL20&lt;10,"Small Rural (2-10ac)",IF(AL20&lt;40,"Rural (10-40ac)",IF(AL20&lt;100,"Farm/Estate (40-100ac)","Large Farm (100+ac)"))))),"—")</f>
        <v/>
      </c>
      <c r="AZ20" s="21" t="n"/>
      <c r="BF20" s="21" t="n"/>
      <c r="BG20" s="21" t="n"/>
      <c r="BH20" s="22">
        <f>IFERROR(IF(AND(BF20&lt;&gt;"",BG20&lt;&gt;""),AVERAGE(BF20,BG20),""),"—")</f>
        <v/>
      </c>
      <c r="BK20" s="21" t="n"/>
      <c r="BM20" s="21" t="n"/>
      <c r="BN20" s="28">
        <f>IFERROR(IF(AND(BK20&lt;&gt;"",BM20&lt;&gt;""),IF(BM20&lt;BK20,1,0),""),"")</f>
        <v/>
      </c>
      <c r="BP20" s="21" t="n"/>
      <c r="BS20" s="29">
        <f>IFERROR(IF(AND(BH20&lt;&gt;"",BK20&lt;&gt;""),(BH20-BK20)/BK20,""),"—")</f>
        <v/>
      </c>
      <c r="BT20" s="29">
        <f>IFERROR(IF(AND(BH20&lt;&gt;"",BP20&lt;&gt;""),(BH20-BP20)/BP20,""),"—")</f>
        <v/>
      </c>
      <c r="BU20" s="29">
        <f>IFERROR(IF(AND(BK20&lt;&gt;"",BP20&lt;&gt;""),(BP20-BK20)/BK20,""),"—")</f>
        <v/>
      </c>
    </row>
    <row r="21">
      <c r="AK21" s="14">
        <f>IFERROR(IF(AND(AG21&lt;&gt;"",AH21&lt;&gt;""),AG21*AH21,IF(AI21&lt;&gt;"",AI21,IF(AJ21&lt;&gt;"",AJ21*43560,""))),"ERROR")</f>
        <v/>
      </c>
      <c r="AL21" s="15">
        <f>IFERROR(IF(AK21&lt;&gt;"",AK21/43560,""),"—")</f>
        <v/>
      </c>
      <c r="AN21" s="14">
        <f>IFERROR(IF(AL21="","",IF(AL21&lt;2,"Residential (&lt;2ac)",IF(AL21&lt;10,"Small Rural (2-10ac)",IF(AL21&lt;40,"Rural (10-40ac)",IF(AL21&lt;100,"Farm/Estate (40-100ac)","Large Farm (100+ac)"))))),"—")</f>
        <v/>
      </c>
      <c r="AZ21" s="21" t="n"/>
      <c r="BF21" s="21" t="n"/>
      <c r="BG21" s="21" t="n"/>
      <c r="BH21" s="22">
        <f>IFERROR(IF(AND(BF21&lt;&gt;"",BG21&lt;&gt;""),AVERAGE(BF21,BG21),""),"—")</f>
        <v/>
      </c>
      <c r="BK21" s="21" t="n"/>
      <c r="BM21" s="21" t="n"/>
      <c r="BN21" s="28">
        <f>IFERROR(IF(AND(BK21&lt;&gt;"",BM21&lt;&gt;""),IF(BM21&lt;BK21,1,0),""),"")</f>
        <v/>
      </c>
      <c r="BP21" s="21" t="n"/>
      <c r="BS21" s="29">
        <f>IFERROR(IF(AND(BH21&lt;&gt;"",BK21&lt;&gt;""),(BH21-BK21)/BK21,""),"—")</f>
        <v/>
      </c>
      <c r="BT21" s="29">
        <f>IFERROR(IF(AND(BH21&lt;&gt;"",BP21&lt;&gt;""),(BH21-BP21)/BP21,""),"—")</f>
        <v/>
      </c>
      <c r="BU21" s="29">
        <f>IFERROR(IF(AND(BK21&lt;&gt;"",BP21&lt;&gt;""),(BP21-BK21)/BK21,""),"—")</f>
        <v/>
      </c>
    </row>
    <row r="22">
      <c r="AK22" s="14">
        <f>IFERROR(IF(AND(AG22&lt;&gt;"",AH22&lt;&gt;""),AG22*AH22,IF(AI22&lt;&gt;"",AI22,IF(AJ22&lt;&gt;"",AJ22*43560,""))),"ERROR")</f>
        <v/>
      </c>
      <c r="AL22" s="15">
        <f>IFERROR(IF(AK22&lt;&gt;"",AK22/43560,""),"—")</f>
        <v/>
      </c>
      <c r="AN22" s="14">
        <f>IFERROR(IF(AL22="","",IF(AL22&lt;2,"Residential (&lt;2ac)",IF(AL22&lt;10,"Small Rural (2-10ac)",IF(AL22&lt;40,"Rural (10-40ac)",IF(AL22&lt;100,"Farm/Estate (40-100ac)","Large Farm (100+ac)"))))),"—")</f>
        <v/>
      </c>
      <c r="AZ22" s="21" t="n"/>
      <c r="BF22" s="21" t="n"/>
      <c r="BG22" s="21" t="n"/>
      <c r="BH22" s="22">
        <f>IFERROR(IF(AND(BF22&lt;&gt;"",BG22&lt;&gt;""),AVERAGE(BF22,BG22),""),"—")</f>
        <v/>
      </c>
      <c r="BK22" s="21" t="n"/>
      <c r="BM22" s="21" t="n"/>
      <c r="BN22" s="28">
        <f>IFERROR(IF(AND(BK22&lt;&gt;"",BM22&lt;&gt;""),IF(BM22&lt;BK22,1,0),""),"")</f>
        <v/>
      </c>
      <c r="BP22" s="21" t="n"/>
      <c r="BS22" s="29">
        <f>IFERROR(IF(AND(BH22&lt;&gt;"",BK22&lt;&gt;""),(BH22-BK22)/BK22,""),"—")</f>
        <v/>
      </c>
      <c r="BT22" s="29">
        <f>IFERROR(IF(AND(BH22&lt;&gt;"",BP22&lt;&gt;""),(BH22-BP22)/BP22,""),"—")</f>
        <v/>
      </c>
      <c r="BU22" s="29">
        <f>IFERROR(IF(AND(BK22&lt;&gt;"",BP22&lt;&gt;""),(BP22-BK22)/BK22,""),"—")</f>
        <v/>
      </c>
    </row>
    <row r="23">
      <c r="AK23" s="14">
        <f>IFERROR(IF(AND(AG23&lt;&gt;"",AH23&lt;&gt;""),AG23*AH23,IF(AI23&lt;&gt;"",AI23,IF(AJ23&lt;&gt;"",AJ23*43560,""))),"ERROR")</f>
        <v/>
      </c>
      <c r="AL23" s="15">
        <f>IFERROR(IF(AK23&lt;&gt;"",AK23/43560,""),"—")</f>
        <v/>
      </c>
      <c r="AN23" s="14">
        <f>IFERROR(IF(AL23="","",IF(AL23&lt;2,"Residential (&lt;2ac)",IF(AL23&lt;10,"Small Rural (2-10ac)",IF(AL23&lt;40,"Rural (10-40ac)",IF(AL23&lt;100,"Farm/Estate (40-100ac)","Large Farm (100+ac)"))))),"—")</f>
        <v/>
      </c>
      <c r="AZ23" s="21" t="n"/>
      <c r="BF23" s="21" t="n"/>
      <c r="BG23" s="21" t="n"/>
      <c r="BH23" s="22">
        <f>IFERROR(IF(AND(BF23&lt;&gt;"",BG23&lt;&gt;""),AVERAGE(BF23,BG23),""),"—")</f>
        <v/>
      </c>
      <c r="BK23" s="21" t="n"/>
      <c r="BM23" s="21" t="n"/>
      <c r="BN23" s="28">
        <f>IFERROR(IF(AND(BK23&lt;&gt;"",BM23&lt;&gt;""),IF(BM23&lt;BK23,1,0),""),"")</f>
        <v/>
      </c>
      <c r="BP23" s="21" t="n"/>
      <c r="BS23" s="29">
        <f>IFERROR(IF(AND(BH23&lt;&gt;"",BK23&lt;&gt;""),(BH23-BK23)/BK23,""),"—")</f>
        <v/>
      </c>
      <c r="BT23" s="29">
        <f>IFERROR(IF(AND(BH23&lt;&gt;"",BP23&lt;&gt;""),(BH23-BP23)/BP23,""),"—")</f>
        <v/>
      </c>
      <c r="BU23" s="29">
        <f>IFERROR(IF(AND(BK23&lt;&gt;"",BP23&lt;&gt;""),(BP23-BK23)/BK23,""),"—")</f>
        <v/>
      </c>
    </row>
    <row r="24">
      <c r="AK24" s="14">
        <f>IFERROR(IF(AND(AG24&lt;&gt;"",AH24&lt;&gt;""),AG24*AH24,IF(AI24&lt;&gt;"",AI24,IF(AJ24&lt;&gt;"",AJ24*43560,""))),"ERROR")</f>
        <v/>
      </c>
      <c r="AL24" s="15">
        <f>IFERROR(IF(AK24&lt;&gt;"",AK24/43560,""),"—")</f>
        <v/>
      </c>
      <c r="AN24" s="14">
        <f>IFERROR(IF(AL24="","",IF(AL24&lt;2,"Residential (&lt;2ac)",IF(AL24&lt;10,"Small Rural (2-10ac)",IF(AL24&lt;40,"Rural (10-40ac)",IF(AL24&lt;100,"Farm/Estate (40-100ac)","Large Farm (100+ac)"))))),"—")</f>
        <v/>
      </c>
      <c r="AZ24" s="21" t="n"/>
      <c r="BF24" s="21" t="n"/>
      <c r="BG24" s="21" t="n"/>
      <c r="BH24" s="22">
        <f>IFERROR(IF(AND(BF24&lt;&gt;"",BG24&lt;&gt;""),AVERAGE(BF24,BG24),""),"—")</f>
        <v/>
      </c>
      <c r="BK24" s="21" t="n"/>
      <c r="BM24" s="21" t="n"/>
      <c r="BN24" s="28">
        <f>IFERROR(IF(AND(BK24&lt;&gt;"",BM24&lt;&gt;""),IF(BM24&lt;BK24,1,0),""),"")</f>
        <v/>
      </c>
      <c r="BP24" s="21" t="n"/>
      <c r="BS24" s="29">
        <f>IFERROR(IF(AND(BH24&lt;&gt;"",BK24&lt;&gt;""),(BH24-BK24)/BK24,""),"—")</f>
        <v/>
      </c>
      <c r="BT24" s="29">
        <f>IFERROR(IF(AND(BH24&lt;&gt;"",BP24&lt;&gt;""),(BH24-BP24)/BP24,""),"—")</f>
        <v/>
      </c>
      <c r="BU24" s="29">
        <f>IFERROR(IF(AND(BK24&lt;&gt;"",BP24&lt;&gt;""),(BP24-BK24)/BK24,""),"—")</f>
        <v/>
      </c>
    </row>
    <row r="25">
      <c r="AK25" s="14">
        <f>IFERROR(IF(AND(AG25&lt;&gt;"",AH25&lt;&gt;""),AG25*AH25,IF(AI25&lt;&gt;"",AI25,IF(AJ25&lt;&gt;"",AJ25*43560,""))),"ERROR")</f>
        <v/>
      </c>
      <c r="AL25" s="15">
        <f>IFERROR(IF(AK25&lt;&gt;"",AK25/43560,""),"—")</f>
        <v/>
      </c>
      <c r="AN25" s="14">
        <f>IFERROR(IF(AL25="","",IF(AL25&lt;2,"Residential (&lt;2ac)",IF(AL25&lt;10,"Small Rural (2-10ac)",IF(AL25&lt;40,"Rural (10-40ac)",IF(AL25&lt;100,"Farm/Estate (40-100ac)","Large Farm (100+ac)"))))),"—")</f>
        <v/>
      </c>
      <c r="AZ25" s="21" t="n"/>
      <c r="BF25" s="21" t="n"/>
      <c r="BG25" s="21" t="n"/>
      <c r="BH25" s="22">
        <f>IFERROR(IF(AND(BF25&lt;&gt;"",BG25&lt;&gt;""),AVERAGE(BF25,BG25),""),"—")</f>
        <v/>
      </c>
      <c r="BK25" s="21" t="n"/>
      <c r="BM25" s="21" t="n"/>
      <c r="BN25" s="28">
        <f>IFERROR(IF(AND(BK25&lt;&gt;"",BM25&lt;&gt;""),IF(BM25&lt;BK25,1,0),""),"")</f>
        <v/>
      </c>
      <c r="BP25" s="21" t="n"/>
      <c r="BS25" s="29">
        <f>IFERROR(IF(AND(BH25&lt;&gt;"",BK25&lt;&gt;""),(BH25-BK25)/BK25,""),"—")</f>
        <v/>
      </c>
      <c r="BT25" s="29">
        <f>IFERROR(IF(AND(BH25&lt;&gt;"",BP25&lt;&gt;""),(BH25-BP25)/BP25,""),"—")</f>
        <v/>
      </c>
      <c r="BU25" s="29">
        <f>IFERROR(IF(AND(BK25&lt;&gt;"",BP25&lt;&gt;""),(BP25-BK25)/BK25,""),"—")</f>
        <v/>
      </c>
    </row>
    <row r="26">
      <c r="AK26" s="14">
        <f>IFERROR(IF(AND(AG26&lt;&gt;"",AH26&lt;&gt;""),AG26*AH26,IF(AI26&lt;&gt;"",AI26,IF(AJ26&lt;&gt;"",AJ26*43560,""))),"ERROR")</f>
        <v/>
      </c>
      <c r="AL26" s="15">
        <f>IFERROR(IF(AK26&lt;&gt;"",AK26/43560,""),"—")</f>
        <v/>
      </c>
      <c r="AN26" s="14">
        <f>IFERROR(IF(AL26="","",IF(AL26&lt;2,"Residential (&lt;2ac)",IF(AL26&lt;10,"Small Rural (2-10ac)",IF(AL26&lt;40,"Rural (10-40ac)",IF(AL26&lt;100,"Farm/Estate (40-100ac)","Large Farm (100+ac)"))))),"—")</f>
        <v/>
      </c>
      <c r="AZ26" s="21" t="n"/>
      <c r="BF26" s="21" t="n"/>
      <c r="BG26" s="21" t="n"/>
      <c r="BH26" s="22">
        <f>IFERROR(IF(AND(BF26&lt;&gt;"",BG26&lt;&gt;""),AVERAGE(BF26,BG26),""),"—")</f>
        <v/>
      </c>
      <c r="BK26" s="21" t="n"/>
      <c r="BM26" s="21" t="n"/>
      <c r="BN26" s="28">
        <f>IFERROR(IF(AND(BK26&lt;&gt;"",BM26&lt;&gt;""),IF(BM26&lt;BK26,1,0),""),"")</f>
        <v/>
      </c>
      <c r="BP26" s="21" t="n"/>
      <c r="BS26" s="29">
        <f>IFERROR(IF(AND(BH26&lt;&gt;"",BK26&lt;&gt;""),(BH26-BK26)/BK26,""),"—")</f>
        <v/>
      </c>
      <c r="BT26" s="29">
        <f>IFERROR(IF(AND(BH26&lt;&gt;"",BP26&lt;&gt;""),(BH26-BP26)/BP26,""),"—")</f>
        <v/>
      </c>
      <c r="BU26" s="29">
        <f>IFERROR(IF(AND(BK26&lt;&gt;"",BP26&lt;&gt;""),(BP26-BK26)/BK26,""),"—")</f>
        <v/>
      </c>
    </row>
    <row r="27">
      <c r="AK27" s="14">
        <f>IFERROR(IF(AND(AG27&lt;&gt;"",AH27&lt;&gt;""),AG27*AH27,IF(AI27&lt;&gt;"",AI27,IF(AJ27&lt;&gt;"",AJ27*43560,""))),"ERROR")</f>
        <v/>
      </c>
      <c r="AL27" s="15">
        <f>IFERROR(IF(AK27&lt;&gt;"",AK27/43560,""),"—")</f>
        <v/>
      </c>
      <c r="AN27" s="14">
        <f>IFERROR(IF(AL27="","",IF(AL27&lt;2,"Residential (&lt;2ac)",IF(AL27&lt;10,"Small Rural (2-10ac)",IF(AL27&lt;40,"Rural (10-40ac)",IF(AL27&lt;100,"Farm/Estate (40-100ac)","Large Farm (100+ac)"))))),"—")</f>
        <v/>
      </c>
      <c r="AZ27" s="21" t="n"/>
      <c r="BF27" s="21" t="n"/>
      <c r="BG27" s="21" t="n"/>
      <c r="BH27" s="22">
        <f>IFERROR(IF(AND(BF27&lt;&gt;"",BG27&lt;&gt;""),AVERAGE(BF27,BG27),""),"—")</f>
        <v/>
      </c>
      <c r="BK27" s="21" t="n"/>
      <c r="BM27" s="21" t="n"/>
      <c r="BN27" s="28">
        <f>IFERROR(IF(AND(BK27&lt;&gt;"",BM27&lt;&gt;""),IF(BM27&lt;BK27,1,0),""),"")</f>
        <v/>
      </c>
      <c r="BP27" s="21" t="n"/>
      <c r="BS27" s="29">
        <f>IFERROR(IF(AND(BH27&lt;&gt;"",BK27&lt;&gt;""),(BH27-BK27)/BK27,""),"—")</f>
        <v/>
      </c>
      <c r="BT27" s="29">
        <f>IFERROR(IF(AND(BH27&lt;&gt;"",BP27&lt;&gt;""),(BH27-BP27)/BP27,""),"—")</f>
        <v/>
      </c>
      <c r="BU27" s="29">
        <f>IFERROR(IF(AND(BK27&lt;&gt;"",BP27&lt;&gt;""),(BP27-BK27)/BK27,""),"—")</f>
        <v/>
      </c>
    </row>
    <row r="28">
      <c r="AK28" s="14">
        <f>IFERROR(IF(AND(AG28&lt;&gt;"",AH28&lt;&gt;""),AG28*AH28,IF(AI28&lt;&gt;"",AI28,IF(AJ28&lt;&gt;"",AJ28*43560,""))),"ERROR")</f>
        <v/>
      </c>
      <c r="AL28" s="15">
        <f>IFERROR(IF(AK28&lt;&gt;"",AK28/43560,""),"—")</f>
        <v/>
      </c>
      <c r="AN28" s="14">
        <f>IFERROR(IF(AL28="","",IF(AL28&lt;2,"Residential (&lt;2ac)",IF(AL28&lt;10,"Small Rural (2-10ac)",IF(AL28&lt;40,"Rural (10-40ac)",IF(AL28&lt;100,"Farm/Estate (40-100ac)","Large Farm (100+ac)"))))),"—")</f>
        <v/>
      </c>
      <c r="AZ28" s="21" t="n"/>
      <c r="BF28" s="21" t="n"/>
      <c r="BG28" s="21" t="n"/>
      <c r="BH28" s="22">
        <f>IFERROR(IF(AND(BF28&lt;&gt;"",BG28&lt;&gt;""),AVERAGE(BF28,BG28),""),"—")</f>
        <v/>
      </c>
      <c r="BK28" s="21" t="n"/>
      <c r="BM28" s="21" t="n"/>
      <c r="BN28" s="28">
        <f>IFERROR(IF(AND(BK28&lt;&gt;"",BM28&lt;&gt;""),IF(BM28&lt;BK28,1,0),""),"")</f>
        <v/>
      </c>
      <c r="BP28" s="21" t="n"/>
      <c r="BS28" s="29">
        <f>IFERROR(IF(AND(BH28&lt;&gt;"",BK28&lt;&gt;""),(BH28-BK28)/BK28,""),"—")</f>
        <v/>
      </c>
      <c r="BT28" s="29">
        <f>IFERROR(IF(AND(BH28&lt;&gt;"",BP28&lt;&gt;""),(BH28-BP28)/BP28,""),"—")</f>
        <v/>
      </c>
      <c r="BU28" s="29">
        <f>IFERROR(IF(AND(BK28&lt;&gt;"",BP28&lt;&gt;""),(BP28-BK28)/BK28,""),"—")</f>
        <v/>
      </c>
    </row>
    <row r="29">
      <c r="AK29" s="14">
        <f>IFERROR(IF(AND(AG29&lt;&gt;"",AH29&lt;&gt;""),AG29*AH29,IF(AI29&lt;&gt;"",AI29,IF(AJ29&lt;&gt;"",AJ29*43560,""))),"ERROR")</f>
        <v/>
      </c>
      <c r="AL29" s="15">
        <f>IFERROR(IF(AK29&lt;&gt;"",AK29/43560,""),"—")</f>
        <v/>
      </c>
      <c r="AN29" s="14">
        <f>IFERROR(IF(AL29="","",IF(AL29&lt;2,"Residential (&lt;2ac)",IF(AL29&lt;10,"Small Rural (2-10ac)",IF(AL29&lt;40,"Rural (10-40ac)",IF(AL29&lt;100,"Farm/Estate (40-100ac)","Large Farm (100+ac)"))))),"—")</f>
        <v/>
      </c>
      <c r="AZ29" s="21" t="n"/>
      <c r="BF29" s="21" t="n"/>
      <c r="BG29" s="21" t="n"/>
      <c r="BH29" s="22">
        <f>IFERROR(IF(AND(BF29&lt;&gt;"",BG29&lt;&gt;""),AVERAGE(BF29,BG29),""),"—")</f>
        <v/>
      </c>
      <c r="BK29" s="21" t="n"/>
      <c r="BM29" s="21" t="n"/>
      <c r="BN29" s="28">
        <f>IFERROR(IF(AND(BK29&lt;&gt;"",BM29&lt;&gt;""),IF(BM29&lt;BK29,1,0),""),"")</f>
        <v/>
      </c>
      <c r="BP29" s="21" t="n"/>
      <c r="BS29" s="29">
        <f>IFERROR(IF(AND(BH29&lt;&gt;"",BK29&lt;&gt;""),(BH29-BK29)/BK29,""),"—")</f>
        <v/>
      </c>
      <c r="BT29" s="29">
        <f>IFERROR(IF(AND(BH29&lt;&gt;"",BP29&lt;&gt;""),(BH29-BP29)/BP29,""),"—")</f>
        <v/>
      </c>
      <c r="BU29" s="29">
        <f>IFERROR(IF(AND(BK29&lt;&gt;"",BP29&lt;&gt;""),(BP29-BK29)/BK29,""),"—")</f>
        <v/>
      </c>
    </row>
    <row r="30">
      <c r="AK30" s="14">
        <f>IFERROR(IF(AND(AG30&lt;&gt;"",AH30&lt;&gt;""),AG30*AH30,IF(AI30&lt;&gt;"",AI30,IF(AJ30&lt;&gt;"",AJ30*43560,""))),"ERROR")</f>
        <v/>
      </c>
      <c r="AL30" s="15">
        <f>IFERROR(IF(AK30&lt;&gt;"",AK30/43560,""),"—")</f>
        <v/>
      </c>
      <c r="AN30" s="14">
        <f>IFERROR(IF(AL30="","",IF(AL30&lt;2,"Residential (&lt;2ac)",IF(AL30&lt;10,"Small Rural (2-10ac)",IF(AL30&lt;40,"Rural (10-40ac)",IF(AL30&lt;100,"Farm/Estate (40-100ac)","Large Farm (100+ac)"))))),"—")</f>
        <v/>
      </c>
      <c r="AZ30" s="21" t="n"/>
      <c r="BF30" s="21" t="n"/>
      <c r="BG30" s="21" t="n"/>
      <c r="BH30" s="22">
        <f>IFERROR(IF(AND(BF30&lt;&gt;"",BG30&lt;&gt;""),AVERAGE(BF30,BG30),""),"—")</f>
        <v/>
      </c>
      <c r="BK30" s="21" t="n"/>
      <c r="BM30" s="21" t="n"/>
      <c r="BN30" s="28">
        <f>IFERROR(IF(AND(BK30&lt;&gt;"",BM30&lt;&gt;""),IF(BM30&lt;BK30,1,0),""),"")</f>
        <v/>
      </c>
      <c r="BP30" s="21" t="n"/>
      <c r="BS30" s="29">
        <f>IFERROR(IF(AND(BH30&lt;&gt;"",BK30&lt;&gt;""),(BH30-BK30)/BK30,""),"—")</f>
        <v/>
      </c>
      <c r="BT30" s="29">
        <f>IFERROR(IF(AND(BH30&lt;&gt;"",BP30&lt;&gt;""),(BH30-BP30)/BP30,""),"—")</f>
        <v/>
      </c>
      <c r="BU30" s="29">
        <f>IFERROR(IF(AND(BK30&lt;&gt;"",BP30&lt;&gt;""),(BP30-BK30)/BK30,""),"—")</f>
        <v/>
      </c>
    </row>
    <row r="31">
      <c r="AK31" s="14">
        <f>IFERROR(IF(AND(AG31&lt;&gt;"",AH31&lt;&gt;""),AG31*AH31,IF(AI31&lt;&gt;"",AI31,IF(AJ31&lt;&gt;"",AJ31*43560,""))),"ERROR")</f>
        <v/>
      </c>
      <c r="AL31" s="15">
        <f>IFERROR(IF(AK31&lt;&gt;"",AK31/43560,""),"—")</f>
        <v/>
      </c>
      <c r="AN31" s="14">
        <f>IFERROR(IF(AL31="","",IF(AL31&lt;2,"Residential (&lt;2ac)",IF(AL31&lt;10,"Small Rural (2-10ac)",IF(AL31&lt;40,"Rural (10-40ac)",IF(AL31&lt;100,"Farm/Estate (40-100ac)","Large Farm (100+ac)"))))),"—")</f>
        <v/>
      </c>
      <c r="AZ31" s="21" t="n"/>
      <c r="BF31" s="21" t="n"/>
      <c r="BG31" s="21" t="n"/>
      <c r="BH31" s="22">
        <f>IFERROR(IF(AND(BF31&lt;&gt;"",BG31&lt;&gt;""),AVERAGE(BF31,BG31),""),"—")</f>
        <v/>
      </c>
      <c r="BK31" s="21" t="n"/>
      <c r="BM31" s="21" t="n"/>
      <c r="BN31" s="28">
        <f>IFERROR(IF(AND(BK31&lt;&gt;"",BM31&lt;&gt;""),IF(BM31&lt;BK31,1,0),""),"")</f>
        <v/>
      </c>
      <c r="BP31" s="21" t="n"/>
      <c r="BS31" s="29">
        <f>IFERROR(IF(AND(BH31&lt;&gt;"",BK31&lt;&gt;""),(BH31-BK31)/BK31,""),"—")</f>
        <v/>
      </c>
      <c r="BT31" s="29">
        <f>IFERROR(IF(AND(BH31&lt;&gt;"",BP31&lt;&gt;""),(BH31-BP31)/BP31,""),"—")</f>
        <v/>
      </c>
      <c r="BU31" s="29">
        <f>IFERROR(IF(AND(BK31&lt;&gt;"",BP31&lt;&gt;""),(BP31-BK31)/BK31,""),"—")</f>
        <v/>
      </c>
    </row>
    <row r="32">
      <c r="AK32" s="14">
        <f>IFERROR(IF(AND(AG32&lt;&gt;"",AH32&lt;&gt;""),AG32*AH32,IF(AI32&lt;&gt;"",AI32,IF(AJ32&lt;&gt;"",AJ32*43560,""))),"ERROR")</f>
        <v/>
      </c>
      <c r="AL32" s="15">
        <f>IFERROR(IF(AK32&lt;&gt;"",AK32/43560,""),"—")</f>
        <v/>
      </c>
      <c r="AN32" s="14">
        <f>IFERROR(IF(AL32="","",IF(AL32&lt;2,"Residential (&lt;2ac)",IF(AL32&lt;10,"Small Rural (2-10ac)",IF(AL32&lt;40,"Rural (10-40ac)",IF(AL32&lt;100,"Farm/Estate (40-100ac)","Large Farm (100+ac)"))))),"—")</f>
        <v/>
      </c>
      <c r="AZ32" s="21" t="n"/>
      <c r="BF32" s="21" t="n"/>
      <c r="BG32" s="21" t="n"/>
      <c r="BH32" s="22">
        <f>IFERROR(IF(AND(BF32&lt;&gt;"",BG32&lt;&gt;""),AVERAGE(BF32,BG32),""),"—")</f>
        <v/>
      </c>
      <c r="BK32" s="21" t="n"/>
      <c r="BM32" s="21" t="n"/>
      <c r="BN32" s="28">
        <f>IFERROR(IF(AND(BK32&lt;&gt;"",BM32&lt;&gt;""),IF(BM32&lt;BK32,1,0),""),"")</f>
        <v/>
      </c>
      <c r="BP32" s="21" t="n"/>
      <c r="BS32" s="29">
        <f>IFERROR(IF(AND(BH32&lt;&gt;"",BK32&lt;&gt;""),(BH32-BK32)/BK32,""),"—")</f>
        <v/>
      </c>
      <c r="BT32" s="29">
        <f>IFERROR(IF(AND(BH32&lt;&gt;"",BP32&lt;&gt;""),(BH32-BP32)/BP32,""),"—")</f>
        <v/>
      </c>
      <c r="BU32" s="29">
        <f>IFERROR(IF(AND(BK32&lt;&gt;"",BP32&lt;&gt;""),(BP32-BK32)/BK32,""),"—")</f>
        <v/>
      </c>
    </row>
    <row r="33">
      <c r="AK33" s="14">
        <f>IFERROR(IF(AND(AG33&lt;&gt;"",AH33&lt;&gt;""),AG33*AH33,IF(AI33&lt;&gt;"",AI33,IF(AJ33&lt;&gt;"",AJ33*43560,""))),"ERROR")</f>
        <v/>
      </c>
      <c r="AL33" s="15">
        <f>IFERROR(IF(AK33&lt;&gt;"",AK33/43560,""),"—")</f>
        <v/>
      </c>
      <c r="AN33" s="14">
        <f>IFERROR(IF(AL33="","",IF(AL33&lt;2,"Residential (&lt;2ac)",IF(AL33&lt;10,"Small Rural (2-10ac)",IF(AL33&lt;40,"Rural (10-40ac)",IF(AL33&lt;100,"Farm/Estate (40-100ac)","Large Farm (100+ac)"))))),"—")</f>
        <v/>
      </c>
      <c r="AZ33" s="21" t="n"/>
      <c r="BF33" s="21" t="n"/>
      <c r="BG33" s="21" t="n"/>
      <c r="BH33" s="22">
        <f>IFERROR(IF(AND(BF33&lt;&gt;"",BG33&lt;&gt;""),AVERAGE(BF33,BG33),""),"—")</f>
        <v/>
      </c>
      <c r="BK33" s="21" t="n"/>
      <c r="BM33" s="21" t="n"/>
      <c r="BN33" s="28">
        <f>IFERROR(IF(AND(BK33&lt;&gt;"",BM33&lt;&gt;""),IF(BM33&lt;BK33,1,0),""),"")</f>
        <v/>
      </c>
      <c r="BP33" s="21" t="n"/>
      <c r="BS33" s="29">
        <f>IFERROR(IF(AND(BH33&lt;&gt;"",BK33&lt;&gt;""),(BH33-BK33)/BK33,""),"—")</f>
        <v/>
      </c>
      <c r="BT33" s="29">
        <f>IFERROR(IF(AND(BH33&lt;&gt;"",BP33&lt;&gt;""),(BH33-BP33)/BP33,""),"—")</f>
        <v/>
      </c>
      <c r="BU33" s="29">
        <f>IFERROR(IF(AND(BK33&lt;&gt;"",BP33&lt;&gt;""),(BP33-BK33)/BK33,""),"—")</f>
        <v/>
      </c>
    </row>
    <row r="34">
      <c r="AK34" s="14">
        <f>IFERROR(IF(AND(AG34&lt;&gt;"",AH34&lt;&gt;""),AG34*AH34,IF(AI34&lt;&gt;"",AI34,IF(AJ34&lt;&gt;"",AJ34*43560,""))),"ERROR")</f>
        <v/>
      </c>
      <c r="AL34" s="15">
        <f>IFERROR(IF(AK34&lt;&gt;"",AK34/43560,""),"—")</f>
        <v/>
      </c>
      <c r="AN34" s="14">
        <f>IFERROR(IF(AL34="","",IF(AL34&lt;2,"Residential (&lt;2ac)",IF(AL34&lt;10,"Small Rural (2-10ac)",IF(AL34&lt;40,"Rural (10-40ac)",IF(AL34&lt;100,"Farm/Estate (40-100ac)","Large Farm (100+ac)"))))),"—")</f>
        <v/>
      </c>
      <c r="AZ34" s="21" t="n"/>
      <c r="BF34" s="21" t="n"/>
      <c r="BG34" s="21" t="n"/>
      <c r="BH34" s="22">
        <f>IFERROR(IF(AND(BF34&lt;&gt;"",BG34&lt;&gt;""),AVERAGE(BF34,BG34),""),"—")</f>
        <v/>
      </c>
      <c r="BK34" s="21" t="n"/>
      <c r="BM34" s="21" t="n"/>
      <c r="BN34" s="28">
        <f>IFERROR(IF(AND(BK34&lt;&gt;"",BM34&lt;&gt;""),IF(BM34&lt;BK34,1,0),""),"")</f>
        <v/>
      </c>
      <c r="BP34" s="21" t="n"/>
      <c r="BS34" s="29">
        <f>IFERROR(IF(AND(BH34&lt;&gt;"",BK34&lt;&gt;""),(BH34-BK34)/BK34,""),"—")</f>
        <v/>
      </c>
      <c r="BT34" s="29">
        <f>IFERROR(IF(AND(BH34&lt;&gt;"",BP34&lt;&gt;""),(BH34-BP34)/BP34,""),"—")</f>
        <v/>
      </c>
      <c r="BU34" s="29">
        <f>IFERROR(IF(AND(BK34&lt;&gt;"",BP34&lt;&gt;""),(BP34-BK34)/BK34,""),"—")</f>
        <v/>
      </c>
    </row>
    <row r="35">
      <c r="AK35" s="14">
        <f>IFERROR(IF(AND(AG35&lt;&gt;"",AH35&lt;&gt;""),AG35*AH35,IF(AI35&lt;&gt;"",AI35,IF(AJ35&lt;&gt;"",AJ35*43560,""))),"ERROR")</f>
        <v/>
      </c>
      <c r="AL35" s="15">
        <f>IFERROR(IF(AK35&lt;&gt;"",AK35/43560,""),"—")</f>
        <v/>
      </c>
      <c r="AN35" s="14">
        <f>IFERROR(IF(AL35="","",IF(AL35&lt;2,"Residential (&lt;2ac)",IF(AL35&lt;10,"Small Rural (2-10ac)",IF(AL35&lt;40,"Rural (10-40ac)",IF(AL35&lt;100,"Farm/Estate (40-100ac)","Large Farm (100+ac)"))))),"—")</f>
        <v/>
      </c>
      <c r="AZ35" s="21" t="n"/>
      <c r="BF35" s="21" t="n"/>
      <c r="BG35" s="21" t="n"/>
      <c r="BH35" s="22">
        <f>IFERROR(IF(AND(BF35&lt;&gt;"",BG35&lt;&gt;""),AVERAGE(BF35,BG35),""),"—")</f>
        <v/>
      </c>
      <c r="BK35" s="21" t="n"/>
      <c r="BM35" s="21" t="n"/>
      <c r="BN35" s="28">
        <f>IFERROR(IF(AND(BK35&lt;&gt;"",BM35&lt;&gt;""),IF(BM35&lt;BK35,1,0),""),"")</f>
        <v/>
      </c>
      <c r="BP35" s="21" t="n"/>
      <c r="BS35" s="29">
        <f>IFERROR(IF(AND(BH35&lt;&gt;"",BK35&lt;&gt;""),(BH35-BK35)/BK35,""),"—")</f>
        <v/>
      </c>
      <c r="BT35" s="29">
        <f>IFERROR(IF(AND(BH35&lt;&gt;"",BP35&lt;&gt;""),(BH35-BP35)/BP35,""),"—")</f>
        <v/>
      </c>
      <c r="BU35" s="29">
        <f>IFERROR(IF(AND(BK35&lt;&gt;"",BP35&lt;&gt;""),(BP35-BK35)/BK35,""),"—")</f>
        <v/>
      </c>
    </row>
    <row r="36">
      <c r="AK36" s="14">
        <f>IFERROR(IF(AND(AG36&lt;&gt;"",AH36&lt;&gt;""),AG36*AH36,IF(AI36&lt;&gt;"",AI36,IF(AJ36&lt;&gt;"",AJ36*43560,""))),"ERROR")</f>
        <v/>
      </c>
      <c r="AL36" s="15">
        <f>IFERROR(IF(AK36&lt;&gt;"",AK36/43560,""),"—")</f>
        <v/>
      </c>
      <c r="AN36" s="14">
        <f>IFERROR(IF(AL36="","",IF(AL36&lt;2,"Residential (&lt;2ac)",IF(AL36&lt;10,"Small Rural (2-10ac)",IF(AL36&lt;40,"Rural (10-40ac)",IF(AL36&lt;100,"Farm/Estate (40-100ac)","Large Farm (100+ac)"))))),"—")</f>
        <v/>
      </c>
      <c r="AZ36" s="21" t="n"/>
      <c r="BF36" s="21" t="n"/>
      <c r="BG36" s="21" t="n"/>
      <c r="BH36" s="22">
        <f>IFERROR(IF(AND(BF36&lt;&gt;"",BG36&lt;&gt;""),AVERAGE(BF36,BG36),""),"—")</f>
        <v/>
      </c>
      <c r="BK36" s="21" t="n"/>
      <c r="BM36" s="21" t="n"/>
      <c r="BN36" s="28">
        <f>IFERROR(IF(AND(BK36&lt;&gt;"",BM36&lt;&gt;""),IF(BM36&lt;BK36,1,0),""),"")</f>
        <v/>
      </c>
      <c r="BP36" s="21" t="n"/>
      <c r="BS36" s="29">
        <f>IFERROR(IF(AND(BH36&lt;&gt;"",BK36&lt;&gt;""),(BH36-BK36)/BK36,""),"—")</f>
        <v/>
      </c>
      <c r="BT36" s="29">
        <f>IFERROR(IF(AND(BH36&lt;&gt;"",BP36&lt;&gt;""),(BH36-BP36)/BP36,""),"—")</f>
        <v/>
      </c>
      <c r="BU36" s="29">
        <f>IFERROR(IF(AND(BK36&lt;&gt;"",BP36&lt;&gt;""),(BP36-BK36)/BK36,""),"—")</f>
        <v/>
      </c>
    </row>
    <row r="37">
      <c r="AK37" s="14">
        <f>IFERROR(IF(AND(AG37&lt;&gt;"",AH37&lt;&gt;""),AG37*AH37,IF(AI37&lt;&gt;"",AI37,IF(AJ37&lt;&gt;"",AJ37*43560,""))),"ERROR")</f>
        <v/>
      </c>
      <c r="AL37" s="15">
        <f>IFERROR(IF(AK37&lt;&gt;"",AK37/43560,""),"—")</f>
        <v/>
      </c>
      <c r="AN37" s="14">
        <f>IFERROR(IF(AL37="","",IF(AL37&lt;2,"Residential (&lt;2ac)",IF(AL37&lt;10,"Small Rural (2-10ac)",IF(AL37&lt;40,"Rural (10-40ac)",IF(AL37&lt;100,"Farm/Estate (40-100ac)","Large Farm (100+ac)"))))),"—")</f>
        <v/>
      </c>
      <c r="AZ37" s="21" t="n"/>
      <c r="BF37" s="21" t="n"/>
      <c r="BG37" s="21" t="n"/>
      <c r="BH37" s="22">
        <f>IFERROR(IF(AND(BF37&lt;&gt;"",BG37&lt;&gt;""),AVERAGE(BF37,BG37),""),"—")</f>
        <v/>
      </c>
      <c r="BK37" s="21" t="n"/>
      <c r="BM37" s="21" t="n"/>
      <c r="BN37" s="28">
        <f>IFERROR(IF(AND(BK37&lt;&gt;"",BM37&lt;&gt;""),IF(BM37&lt;BK37,1,0),""),"")</f>
        <v/>
      </c>
      <c r="BP37" s="21" t="n"/>
      <c r="BS37" s="29">
        <f>IFERROR(IF(AND(BH37&lt;&gt;"",BK37&lt;&gt;""),(BH37-BK37)/BK37,""),"—")</f>
        <v/>
      </c>
      <c r="BT37" s="29">
        <f>IFERROR(IF(AND(BH37&lt;&gt;"",BP37&lt;&gt;""),(BH37-BP37)/BP37,""),"—")</f>
        <v/>
      </c>
      <c r="BU37" s="29">
        <f>IFERROR(IF(AND(BK37&lt;&gt;"",BP37&lt;&gt;""),(BP37-BK37)/BK37,""),"—")</f>
        <v/>
      </c>
    </row>
    <row r="38">
      <c r="AK38" s="14">
        <f>IFERROR(IF(AND(AG38&lt;&gt;"",AH38&lt;&gt;""),AG38*AH38,IF(AI38&lt;&gt;"",AI38,IF(AJ38&lt;&gt;"",AJ38*43560,""))),"ERROR")</f>
        <v/>
      </c>
      <c r="AL38" s="15">
        <f>IFERROR(IF(AK38&lt;&gt;"",AK38/43560,""),"—")</f>
        <v/>
      </c>
      <c r="AN38" s="14">
        <f>IFERROR(IF(AL38="","",IF(AL38&lt;2,"Residential (&lt;2ac)",IF(AL38&lt;10,"Small Rural (2-10ac)",IF(AL38&lt;40,"Rural (10-40ac)",IF(AL38&lt;100,"Farm/Estate (40-100ac)","Large Farm (100+ac)"))))),"—")</f>
        <v/>
      </c>
      <c r="AZ38" s="21" t="n"/>
      <c r="BF38" s="21" t="n"/>
      <c r="BG38" s="21" t="n"/>
      <c r="BH38" s="22">
        <f>IFERROR(IF(AND(BF38&lt;&gt;"",BG38&lt;&gt;""),AVERAGE(BF38,BG38),""),"—")</f>
        <v/>
      </c>
      <c r="BK38" s="21" t="n"/>
      <c r="BM38" s="21" t="n"/>
      <c r="BN38" s="28">
        <f>IFERROR(IF(AND(BK38&lt;&gt;"",BM38&lt;&gt;""),IF(BM38&lt;BK38,1,0),""),"")</f>
        <v/>
      </c>
      <c r="BP38" s="21" t="n"/>
      <c r="BS38" s="29">
        <f>IFERROR(IF(AND(BH38&lt;&gt;"",BK38&lt;&gt;""),(BH38-BK38)/BK38,""),"—")</f>
        <v/>
      </c>
      <c r="BT38" s="29">
        <f>IFERROR(IF(AND(BH38&lt;&gt;"",BP38&lt;&gt;""),(BH38-BP38)/BP38,""),"—")</f>
        <v/>
      </c>
      <c r="BU38" s="29">
        <f>IFERROR(IF(AND(BK38&lt;&gt;"",BP38&lt;&gt;""),(BP38-BK38)/BK38,""),"—")</f>
        <v/>
      </c>
    </row>
    <row r="39">
      <c r="AK39" s="14">
        <f>IFERROR(IF(AND(AG39&lt;&gt;"",AH39&lt;&gt;""),AG39*AH39,IF(AI39&lt;&gt;"",AI39,IF(AJ39&lt;&gt;"",AJ39*43560,""))),"ERROR")</f>
        <v/>
      </c>
      <c r="AL39" s="15">
        <f>IFERROR(IF(AK39&lt;&gt;"",AK39/43560,""),"—")</f>
        <v/>
      </c>
      <c r="AN39" s="14">
        <f>IFERROR(IF(AL39="","",IF(AL39&lt;2,"Residential (&lt;2ac)",IF(AL39&lt;10,"Small Rural (2-10ac)",IF(AL39&lt;40,"Rural (10-40ac)",IF(AL39&lt;100,"Farm/Estate (40-100ac)","Large Farm (100+ac)"))))),"—")</f>
        <v/>
      </c>
      <c r="AZ39" s="21" t="n"/>
      <c r="BF39" s="21" t="n"/>
      <c r="BG39" s="21" t="n"/>
      <c r="BH39" s="22">
        <f>IFERROR(IF(AND(BF39&lt;&gt;"",BG39&lt;&gt;""),AVERAGE(BF39,BG39),""),"—")</f>
        <v/>
      </c>
      <c r="BK39" s="21" t="n"/>
      <c r="BM39" s="21" t="n"/>
      <c r="BN39" s="28">
        <f>IFERROR(IF(AND(BK39&lt;&gt;"",BM39&lt;&gt;""),IF(BM39&lt;BK39,1,0),""),"")</f>
        <v/>
      </c>
      <c r="BP39" s="21" t="n"/>
      <c r="BS39" s="29">
        <f>IFERROR(IF(AND(BH39&lt;&gt;"",BK39&lt;&gt;""),(BH39-BK39)/BK39,""),"—")</f>
        <v/>
      </c>
      <c r="BT39" s="29">
        <f>IFERROR(IF(AND(BH39&lt;&gt;"",BP39&lt;&gt;""),(BH39-BP39)/BP39,""),"—")</f>
        <v/>
      </c>
      <c r="BU39" s="29">
        <f>IFERROR(IF(AND(BK39&lt;&gt;"",BP39&lt;&gt;""),(BP39-BK39)/BK39,""),"—")</f>
        <v/>
      </c>
    </row>
    <row r="40">
      <c r="AK40" s="14">
        <f>IFERROR(IF(AND(AG40&lt;&gt;"",AH40&lt;&gt;""),AG40*AH40,IF(AI40&lt;&gt;"",AI40,IF(AJ40&lt;&gt;"",AJ40*43560,""))),"ERROR")</f>
        <v/>
      </c>
      <c r="AL40" s="15">
        <f>IFERROR(IF(AK40&lt;&gt;"",AK40/43560,""),"—")</f>
        <v/>
      </c>
      <c r="AN40" s="14">
        <f>IFERROR(IF(AL40="","",IF(AL40&lt;2,"Residential (&lt;2ac)",IF(AL40&lt;10,"Small Rural (2-10ac)",IF(AL40&lt;40,"Rural (10-40ac)",IF(AL40&lt;100,"Farm/Estate (40-100ac)","Large Farm (100+ac)"))))),"—")</f>
        <v/>
      </c>
      <c r="AZ40" s="21" t="n"/>
      <c r="BF40" s="21" t="n"/>
      <c r="BG40" s="21" t="n"/>
      <c r="BH40" s="22">
        <f>IFERROR(IF(AND(BF40&lt;&gt;"",BG40&lt;&gt;""),AVERAGE(BF40,BG40),""),"—")</f>
        <v/>
      </c>
      <c r="BK40" s="21" t="n"/>
      <c r="BM40" s="21" t="n"/>
      <c r="BN40" s="28">
        <f>IFERROR(IF(AND(BK40&lt;&gt;"",BM40&lt;&gt;""),IF(BM40&lt;BK40,1,0),""),"")</f>
        <v/>
      </c>
      <c r="BP40" s="21" t="n"/>
      <c r="BS40" s="29">
        <f>IFERROR(IF(AND(BH40&lt;&gt;"",BK40&lt;&gt;""),(BH40-BK40)/BK40,""),"—")</f>
        <v/>
      </c>
      <c r="BT40" s="29">
        <f>IFERROR(IF(AND(BH40&lt;&gt;"",BP40&lt;&gt;""),(BH40-BP40)/BP40,""),"—")</f>
        <v/>
      </c>
      <c r="BU40" s="29">
        <f>IFERROR(IF(AND(BK40&lt;&gt;"",BP40&lt;&gt;""),(BP40-BK40)/BK40,""),"—")</f>
        <v/>
      </c>
    </row>
    <row r="41">
      <c r="AK41" s="14">
        <f>IFERROR(IF(AND(AG41&lt;&gt;"",AH41&lt;&gt;""),AG41*AH41,IF(AI41&lt;&gt;"",AI41,IF(AJ41&lt;&gt;"",AJ41*43560,""))),"ERROR")</f>
        <v/>
      </c>
      <c r="AL41" s="15">
        <f>IFERROR(IF(AK41&lt;&gt;"",AK41/43560,""),"—")</f>
        <v/>
      </c>
      <c r="AN41" s="14">
        <f>IFERROR(IF(AL41="","",IF(AL41&lt;2,"Residential (&lt;2ac)",IF(AL41&lt;10,"Small Rural (2-10ac)",IF(AL41&lt;40,"Rural (10-40ac)",IF(AL41&lt;100,"Farm/Estate (40-100ac)","Large Farm (100+ac)"))))),"—")</f>
        <v/>
      </c>
      <c r="AZ41" s="21" t="n"/>
      <c r="BF41" s="21" t="n"/>
      <c r="BG41" s="21" t="n"/>
      <c r="BH41" s="22">
        <f>IFERROR(IF(AND(BF41&lt;&gt;"",BG41&lt;&gt;""),AVERAGE(BF41,BG41),""),"—")</f>
        <v/>
      </c>
      <c r="BK41" s="21" t="n"/>
      <c r="BM41" s="21" t="n"/>
      <c r="BN41" s="28">
        <f>IFERROR(IF(AND(BK41&lt;&gt;"",BM41&lt;&gt;""),IF(BM41&lt;BK41,1,0),""),"")</f>
        <v/>
      </c>
      <c r="BP41" s="21" t="n"/>
      <c r="BS41" s="29">
        <f>IFERROR(IF(AND(BH41&lt;&gt;"",BK41&lt;&gt;""),(BH41-BK41)/BK41,""),"—")</f>
        <v/>
      </c>
      <c r="BT41" s="29">
        <f>IFERROR(IF(AND(BH41&lt;&gt;"",BP41&lt;&gt;""),(BH41-BP41)/BP41,""),"—")</f>
        <v/>
      </c>
      <c r="BU41" s="29">
        <f>IFERROR(IF(AND(BK41&lt;&gt;"",BP41&lt;&gt;""),(BP41-BK41)/BK41,""),"—")</f>
        <v/>
      </c>
    </row>
    <row r="42">
      <c r="AK42" s="14">
        <f>IFERROR(IF(AND(AG42&lt;&gt;"",AH42&lt;&gt;""),AG42*AH42,IF(AI42&lt;&gt;"",AI42,IF(AJ42&lt;&gt;"",AJ42*43560,""))),"ERROR")</f>
        <v/>
      </c>
      <c r="AL42" s="15">
        <f>IFERROR(IF(AK42&lt;&gt;"",AK42/43560,""),"—")</f>
        <v/>
      </c>
      <c r="AN42" s="14">
        <f>IFERROR(IF(AL42="","",IF(AL42&lt;2,"Residential (&lt;2ac)",IF(AL42&lt;10,"Small Rural (2-10ac)",IF(AL42&lt;40,"Rural (10-40ac)",IF(AL42&lt;100,"Farm/Estate (40-100ac)","Large Farm (100+ac)"))))),"—")</f>
        <v/>
      </c>
      <c r="AZ42" s="21" t="n"/>
      <c r="BF42" s="21" t="n"/>
      <c r="BG42" s="21" t="n"/>
      <c r="BH42" s="22">
        <f>IFERROR(IF(AND(BF42&lt;&gt;"",BG42&lt;&gt;""),AVERAGE(BF42,BG42),""),"—")</f>
        <v/>
      </c>
      <c r="BK42" s="21" t="n"/>
      <c r="BM42" s="21" t="n"/>
      <c r="BN42" s="28">
        <f>IFERROR(IF(AND(BK42&lt;&gt;"",BM42&lt;&gt;""),IF(BM42&lt;BK42,1,0),""),"")</f>
        <v/>
      </c>
      <c r="BP42" s="21" t="n"/>
      <c r="BS42" s="29">
        <f>IFERROR(IF(AND(BH42&lt;&gt;"",BK42&lt;&gt;""),(BH42-BK42)/BK42,""),"—")</f>
        <v/>
      </c>
      <c r="BT42" s="29">
        <f>IFERROR(IF(AND(BH42&lt;&gt;"",BP42&lt;&gt;""),(BH42-BP42)/BP42,""),"—")</f>
        <v/>
      </c>
      <c r="BU42" s="29">
        <f>IFERROR(IF(AND(BK42&lt;&gt;"",BP42&lt;&gt;""),(BP42-BK42)/BK42,""),"—")</f>
        <v/>
      </c>
    </row>
    <row r="43">
      <c r="AK43" s="14">
        <f>IFERROR(IF(AND(AG43&lt;&gt;"",AH43&lt;&gt;""),AG43*AH43,IF(AI43&lt;&gt;"",AI43,IF(AJ43&lt;&gt;"",AJ43*43560,""))),"ERROR")</f>
        <v/>
      </c>
      <c r="AL43" s="15">
        <f>IFERROR(IF(AK43&lt;&gt;"",AK43/43560,""),"—")</f>
        <v/>
      </c>
      <c r="AN43" s="14">
        <f>IFERROR(IF(AL43="","",IF(AL43&lt;2,"Residential (&lt;2ac)",IF(AL43&lt;10,"Small Rural (2-10ac)",IF(AL43&lt;40,"Rural (10-40ac)",IF(AL43&lt;100,"Farm/Estate (40-100ac)","Large Farm (100+ac)"))))),"—")</f>
        <v/>
      </c>
      <c r="AZ43" s="21" t="n"/>
      <c r="BF43" s="21" t="n"/>
      <c r="BG43" s="21" t="n"/>
      <c r="BH43" s="22">
        <f>IFERROR(IF(AND(BF43&lt;&gt;"",BG43&lt;&gt;""),AVERAGE(BF43,BG43),""),"—")</f>
        <v/>
      </c>
      <c r="BK43" s="21" t="n"/>
      <c r="BM43" s="21" t="n"/>
      <c r="BN43" s="28">
        <f>IFERROR(IF(AND(BK43&lt;&gt;"",BM43&lt;&gt;""),IF(BM43&lt;BK43,1,0),""),"")</f>
        <v/>
      </c>
      <c r="BP43" s="21" t="n"/>
      <c r="BS43" s="29">
        <f>IFERROR(IF(AND(BH43&lt;&gt;"",BK43&lt;&gt;""),(BH43-BK43)/BK43,""),"—")</f>
        <v/>
      </c>
      <c r="BT43" s="29">
        <f>IFERROR(IF(AND(BH43&lt;&gt;"",BP43&lt;&gt;""),(BH43-BP43)/BP43,""),"—")</f>
        <v/>
      </c>
      <c r="BU43" s="29">
        <f>IFERROR(IF(AND(BK43&lt;&gt;"",BP43&lt;&gt;""),(BP43-BK43)/BK43,""),"—")</f>
        <v/>
      </c>
    </row>
    <row r="44">
      <c r="AK44" s="14">
        <f>IFERROR(IF(AND(AG44&lt;&gt;"",AH44&lt;&gt;""),AG44*AH44,IF(AI44&lt;&gt;"",AI44,IF(AJ44&lt;&gt;"",AJ44*43560,""))),"ERROR")</f>
        <v/>
      </c>
      <c r="AL44" s="15">
        <f>IFERROR(IF(AK44&lt;&gt;"",AK44/43560,""),"—")</f>
        <v/>
      </c>
      <c r="AN44" s="14">
        <f>IFERROR(IF(AL44="","",IF(AL44&lt;2,"Residential (&lt;2ac)",IF(AL44&lt;10,"Small Rural (2-10ac)",IF(AL44&lt;40,"Rural (10-40ac)",IF(AL44&lt;100,"Farm/Estate (40-100ac)","Large Farm (100+ac)"))))),"—")</f>
        <v/>
      </c>
      <c r="AZ44" s="21" t="n"/>
      <c r="BF44" s="21" t="n"/>
      <c r="BG44" s="21" t="n"/>
      <c r="BH44" s="22">
        <f>IFERROR(IF(AND(BF44&lt;&gt;"",BG44&lt;&gt;""),AVERAGE(BF44,BG44),""),"—")</f>
        <v/>
      </c>
      <c r="BK44" s="21" t="n"/>
      <c r="BM44" s="21" t="n"/>
      <c r="BN44" s="28">
        <f>IFERROR(IF(AND(BK44&lt;&gt;"",BM44&lt;&gt;""),IF(BM44&lt;BK44,1,0),""),"")</f>
        <v/>
      </c>
      <c r="BP44" s="21" t="n"/>
      <c r="BS44" s="29">
        <f>IFERROR(IF(AND(BH44&lt;&gt;"",BK44&lt;&gt;""),(BH44-BK44)/BK44,""),"—")</f>
        <v/>
      </c>
      <c r="BT44" s="29">
        <f>IFERROR(IF(AND(BH44&lt;&gt;"",BP44&lt;&gt;""),(BH44-BP44)/BP44,""),"—")</f>
        <v/>
      </c>
      <c r="BU44" s="29">
        <f>IFERROR(IF(AND(BK44&lt;&gt;"",BP44&lt;&gt;""),(BP44-BK44)/BK44,""),"—")</f>
        <v/>
      </c>
    </row>
    <row r="45">
      <c r="AK45" s="14">
        <f>IFERROR(IF(AND(AG45&lt;&gt;"",AH45&lt;&gt;""),AG45*AH45,IF(AI45&lt;&gt;"",AI45,IF(AJ45&lt;&gt;"",AJ45*43560,""))),"ERROR")</f>
        <v/>
      </c>
      <c r="AL45" s="15">
        <f>IFERROR(IF(AK45&lt;&gt;"",AK45/43560,""),"—")</f>
        <v/>
      </c>
      <c r="AN45" s="14">
        <f>IFERROR(IF(AL45="","",IF(AL45&lt;2,"Residential (&lt;2ac)",IF(AL45&lt;10,"Small Rural (2-10ac)",IF(AL45&lt;40,"Rural (10-40ac)",IF(AL45&lt;100,"Farm/Estate (40-100ac)","Large Farm (100+ac)"))))),"—")</f>
        <v/>
      </c>
      <c r="AZ45" s="21" t="n"/>
      <c r="BF45" s="21" t="n"/>
      <c r="BG45" s="21" t="n"/>
      <c r="BH45" s="22">
        <f>IFERROR(IF(AND(BF45&lt;&gt;"",BG45&lt;&gt;""),AVERAGE(BF45,BG45),""),"—")</f>
        <v/>
      </c>
      <c r="BK45" s="21" t="n"/>
      <c r="BM45" s="21" t="n"/>
      <c r="BN45" s="28">
        <f>IFERROR(IF(AND(BK45&lt;&gt;"",BM45&lt;&gt;""),IF(BM45&lt;BK45,1,0),""),"")</f>
        <v/>
      </c>
      <c r="BP45" s="21" t="n"/>
      <c r="BS45" s="29">
        <f>IFERROR(IF(AND(BH45&lt;&gt;"",BK45&lt;&gt;""),(BH45-BK45)/BK45,""),"—")</f>
        <v/>
      </c>
      <c r="BT45" s="29">
        <f>IFERROR(IF(AND(BH45&lt;&gt;"",BP45&lt;&gt;""),(BH45-BP45)/BP45,""),"—")</f>
        <v/>
      </c>
      <c r="BU45" s="29">
        <f>IFERROR(IF(AND(BK45&lt;&gt;"",BP45&lt;&gt;""),(BP45-BK45)/BK45,""),"—")</f>
        <v/>
      </c>
    </row>
    <row r="46">
      <c r="AK46" s="14">
        <f>IFERROR(IF(AND(AG46&lt;&gt;"",AH46&lt;&gt;""),AG46*AH46,IF(AI46&lt;&gt;"",AI46,IF(AJ46&lt;&gt;"",AJ46*43560,""))),"ERROR")</f>
        <v/>
      </c>
      <c r="AL46" s="15">
        <f>IFERROR(IF(AK46&lt;&gt;"",AK46/43560,""),"—")</f>
        <v/>
      </c>
      <c r="AN46" s="14">
        <f>IFERROR(IF(AL46="","",IF(AL46&lt;2,"Residential (&lt;2ac)",IF(AL46&lt;10,"Small Rural (2-10ac)",IF(AL46&lt;40,"Rural (10-40ac)",IF(AL46&lt;100,"Farm/Estate (40-100ac)","Large Farm (100+ac)"))))),"—")</f>
        <v/>
      </c>
      <c r="AZ46" s="21" t="n"/>
      <c r="BF46" s="21" t="n"/>
      <c r="BG46" s="21" t="n"/>
      <c r="BH46" s="22">
        <f>IFERROR(IF(AND(BF46&lt;&gt;"",BG46&lt;&gt;""),AVERAGE(BF46,BG46),""),"—")</f>
        <v/>
      </c>
      <c r="BK46" s="21" t="n"/>
      <c r="BM46" s="21" t="n"/>
      <c r="BN46" s="28">
        <f>IFERROR(IF(AND(BK46&lt;&gt;"",BM46&lt;&gt;""),IF(BM46&lt;BK46,1,0),""),"")</f>
        <v/>
      </c>
      <c r="BP46" s="21" t="n"/>
      <c r="BS46" s="29">
        <f>IFERROR(IF(AND(BH46&lt;&gt;"",BK46&lt;&gt;""),(BH46-BK46)/BK46,""),"—")</f>
        <v/>
      </c>
      <c r="BT46" s="29">
        <f>IFERROR(IF(AND(BH46&lt;&gt;"",BP46&lt;&gt;""),(BH46-BP46)/BP46,""),"—")</f>
        <v/>
      </c>
      <c r="BU46" s="29">
        <f>IFERROR(IF(AND(BK46&lt;&gt;"",BP46&lt;&gt;""),(BP46-BK46)/BK46,""),"—")</f>
        <v/>
      </c>
    </row>
    <row r="47">
      <c r="AK47" s="14">
        <f>IFERROR(IF(AND(AG47&lt;&gt;"",AH47&lt;&gt;""),AG47*AH47,IF(AI47&lt;&gt;"",AI47,IF(AJ47&lt;&gt;"",AJ47*43560,""))),"ERROR")</f>
        <v/>
      </c>
      <c r="AL47" s="15">
        <f>IFERROR(IF(AK47&lt;&gt;"",AK47/43560,""),"—")</f>
        <v/>
      </c>
      <c r="AN47" s="14">
        <f>IFERROR(IF(AL47="","",IF(AL47&lt;2,"Residential (&lt;2ac)",IF(AL47&lt;10,"Small Rural (2-10ac)",IF(AL47&lt;40,"Rural (10-40ac)",IF(AL47&lt;100,"Farm/Estate (40-100ac)","Large Farm (100+ac)"))))),"—")</f>
        <v/>
      </c>
      <c r="AZ47" s="21" t="n"/>
      <c r="BF47" s="21" t="n"/>
      <c r="BG47" s="21" t="n"/>
      <c r="BH47" s="22">
        <f>IFERROR(IF(AND(BF47&lt;&gt;"",BG47&lt;&gt;""),AVERAGE(BF47,BG47),""),"—")</f>
        <v/>
      </c>
      <c r="BK47" s="21" t="n"/>
      <c r="BM47" s="21" t="n"/>
      <c r="BN47" s="28">
        <f>IFERROR(IF(AND(BK47&lt;&gt;"",BM47&lt;&gt;""),IF(BM47&lt;BK47,1,0),""),"")</f>
        <v/>
      </c>
      <c r="BP47" s="21" t="n"/>
      <c r="BS47" s="29">
        <f>IFERROR(IF(AND(BH47&lt;&gt;"",BK47&lt;&gt;""),(BH47-BK47)/BK47,""),"—")</f>
        <v/>
      </c>
      <c r="BT47" s="29">
        <f>IFERROR(IF(AND(BH47&lt;&gt;"",BP47&lt;&gt;""),(BH47-BP47)/BP47,""),"—")</f>
        <v/>
      </c>
      <c r="BU47" s="29">
        <f>IFERROR(IF(AND(BK47&lt;&gt;"",BP47&lt;&gt;""),(BP47-BK47)/BK47,""),"—")</f>
        <v/>
      </c>
    </row>
    <row r="48">
      <c r="AK48" s="14">
        <f>IFERROR(IF(AND(AG48&lt;&gt;"",AH48&lt;&gt;""),AG48*AH48,IF(AI48&lt;&gt;"",AI48,IF(AJ48&lt;&gt;"",AJ48*43560,""))),"ERROR")</f>
        <v/>
      </c>
      <c r="AL48" s="15">
        <f>IFERROR(IF(AK48&lt;&gt;"",AK48/43560,""),"—")</f>
        <v/>
      </c>
      <c r="AN48" s="14">
        <f>IFERROR(IF(AL48="","",IF(AL48&lt;2,"Residential (&lt;2ac)",IF(AL48&lt;10,"Small Rural (2-10ac)",IF(AL48&lt;40,"Rural (10-40ac)",IF(AL48&lt;100,"Farm/Estate (40-100ac)","Large Farm (100+ac)"))))),"—")</f>
        <v/>
      </c>
      <c r="AZ48" s="21" t="n"/>
      <c r="BF48" s="21" t="n"/>
      <c r="BG48" s="21" t="n"/>
      <c r="BH48" s="22">
        <f>IFERROR(IF(AND(BF48&lt;&gt;"",BG48&lt;&gt;""),AVERAGE(BF48,BG48),""),"—")</f>
        <v/>
      </c>
      <c r="BK48" s="21" t="n"/>
      <c r="BM48" s="21" t="n"/>
      <c r="BN48" s="28">
        <f>IFERROR(IF(AND(BK48&lt;&gt;"",BM48&lt;&gt;""),IF(BM48&lt;BK48,1,0),""),"")</f>
        <v/>
      </c>
      <c r="BP48" s="21" t="n"/>
      <c r="BS48" s="29">
        <f>IFERROR(IF(AND(BH48&lt;&gt;"",BK48&lt;&gt;""),(BH48-BK48)/BK48,""),"—")</f>
        <v/>
      </c>
      <c r="BT48" s="29">
        <f>IFERROR(IF(AND(BH48&lt;&gt;"",BP48&lt;&gt;""),(BH48-BP48)/BP48,""),"—")</f>
        <v/>
      </c>
      <c r="BU48" s="29">
        <f>IFERROR(IF(AND(BK48&lt;&gt;"",BP48&lt;&gt;""),(BP48-BK48)/BK48,""),"—")</f>
        <v/>
      </c>
    </row>
    <row r="49">
      <c r="AK49" s="14">
        <f>IFERROR(IF(AND(AG49&lt;&gt;"",AH49&lt;&gt;""),AG49*AH49,IF(AI49&lt;&gt;"",AI49,IF(AJ49&lt;&gt;"",AJ49*43560,""))),"ERROR")</f>
        <v/>
      </c>
      <c r="AL49" s="15">
        <f>IFERROR(IF(AK49&lt;&gt;"",AK49/43560,""),"—")</f>
        <v/>
      </c>
      <c r="AN49" s="14">
        <f>IFERROR(IF(AL49="","",IF(AL49&lt;2,"Residential (&lt;2ac)",IF(AL49&lt;10,"Small Rural (2-10ac)",IF(AL49&lt;40,"Rural (10-40ac)",IF(AL49&lt;100,"Farm/Estate (40-100ac)","Large Farm (100+ac)"))))),"—")</f>
        <v/>
      </c>
      <c r="AZ49" s="21" t="n"/>
      <c r="BF49" s="21" t="n"/>
      <c r="BG49" s="21" t="n"/>
      <c r="BH49" s="22">
        <f>IFERROR(IF(AND(BF49&lt;&gt;"",BG49&lt;&gt;""),AVERAGE(BF49,BG49),""),"—")</f>
        <v/>
      </c>
      <c r="BK49" s="21" t="n"/>
      <c r="BM49" s="21" t="n"/>
      <c r="BN49" s="28">
        <f>IFERROR(IF(AND(BK49&lt;&gt;"",BM49&lt;&gt;""),IF(BM49&lt;BK49,1,0),""),"")</f>
        <v/>
      </c>
      <c r="BP49" s="21" t="n"/>
      <c r="BS49" s="29">
        <f>IFERROR(IF(AND(BH49&lt;&gt;"",BK49&lt;&gt;""),(BH49-BK49)/BK49,""),"—")</f>
        <v/>
      </c>
      <c r="BT49" s="29">
        <f>IFERROR(IF(AND(BH49&lt;&gt;"",BP49&lt;&gt;""),(BH49-BP49)/BP49,""),"—")</f>
        <v/>
      </c>
      <c r="BU49" s="29">
        <f>IFERROR(IF(AND(BK49&lt;&gt;"",BP49&lt;&gt;""),(BP49-BK49)/BK49,""),"—")</f>
        <v/>
      </c>
    </row>
    <row r="50">
      <c r="AK50" s="14">
        <f>IFERROR(IF(AND(AG50&lt;&gt;"",AH50&lt;&gt;""),AG50*AH50,IF(AI50&lt;&gt;"",AI50,IF(AJ50&lt;&gt;"",AJ50*43560,""))),"ERROR")</f>
        <v/>
      </c>
      <c r="AL50" s="15">
        <f>IFERROR(IF(AK50&lt;&gt;"",AK50/43560,""),"—")</f>
        <v/>
      </c>
      <c r="AN50" s="14">
        <f>IFERROR(IF(AL50="","",IF(AL50&lt;2,"Residential (&lt;2ac)",IF(AL50&lt;10,"Small Rural (2-10ac)",IF(AL50&lt;40,"Rural (10-40ac)",IF(AL50&lt;100,"Farm/Estate (40-100ac)","Large Farm (100+ac)"))))),"—")</f>
        <v/>
      </c>
      <c r="AZ50" s="21" t="n"/>
      <c r="BF50" s="21" t="n"/>
      <c r="BG50" s="21" t="n"/>
      <c r="BH50" s="22">
        <f>IFERROR(IF(AND(BF50&lt;&gt;"",BG50&lt;&gt;""),AVERAGE(BF50,BG50),""),"—")</f>
        <v/>
      </c>
      <c r="BK50" s="21" t="n"/>
      <c r="BM50" s="21" t="n"/>
      <c r="BN50" s="28">
        <f>IFERROR(IF(AND(BK50&lt;&gt;"",BM50&lt;&gt;""),IF(BM50&lt;BK50,1,0),""),"")</f>
        <v/>
      </c>
      <c r="BP50" s="21" t="n"/>
      <c r="BS50" s="29">
        <f>IFERROR(IF(AND(BH50&lt;&gt;"",BK50&lt;&gt;""),(BH50-BK50)/BK50,""),"—")</f>
        <v/>
      </c>
      <c r="BT50" s="29">
        <f>IFERROR(IF(AND(BH50&lt;&gt;"",BP50&lt;&gt;""),(BH50-BP50)/BP50,""),"—")</f>
        <v/>
      </c>
      <c r="BU50" s="29">
        <f>IFERROR(IF(AND(BK50&lt;&gt;"",BP50&lt;&gt;""),(BP50-BK50)/BK50,""),"—")</f>
        <v/>
      </c>
    </row>
    <row r="51">
      <c r="AK51" s="14">
        <f>IFERROR(IF(AND(AG51&lt;&gt;"",AH51&lt;&gt;""),AG51*AH51,IF(AI51&lt;&gt;"",AI51,IF(AJ51&lt;&gt;"",AJ51*43560,""))),"ERROR")</f>
        <v/>
      </c>
      <c r="AL51" s="15">
        <f>IFERROR(IF(AK51&lt;&gt;"",AK51/43560,""),"—")</f>
        <v/>
      </c>
      <c r="AN51" s="14">
        <f>IFERROR(IF(AL51="","",IF(AL51&lt;2,"Residential (&lt;2ac)",IF(AL51&lt;10,"Small Rural (2-10ac)",IF(AL51&lt;40,"Rural (10-40ac)",IF(AL51&lt;100,"Farm/Estate (40-100ac)","Large Farm (100+ac)"))))),"—")</f>
        <v/>
      </c>
      <c r="AZ51" s="21" t="n"/>
      <c r="BF51" s="21" t="n"/>
      <c r="BG51" s="21" t="n"/>
      <c r="BH51" s="22">
        <f>IFERROR(IF(AND(BF51&lt;&gt;"",BG51&lt;&gt;""),AVERAGE(BF51,BG51),""),"—")</f>
        <v/>
      </c>
      <c r="BK51" s="21" t="n"/>
      <c r="BM51" s="21" t="n"/>
      <c r="BN51" s="28">
        <f>IFERROR(IF(AND(BK51&lt;&gt;"",BM51&lt;&gt;""),IF(BM51&lt;BK51,1,0),""),"")</f>
        <v/>
      </c>
      <c r="BP51" s="21" t="n"/>
      <c r="BS51" s="29">
        <f>IFERROR(IF(AND(BH51&lt;&gt;"",BK51&lt;&gt;""),(BH51-BK51)/BK51,""),"—")</f>
        <v/>
      </c>
      <c r="BT51" s="29">
        <f>IFERROR(IF(AND(BH51&lt;&gt;"",BP51&lt;&gt;""),(BH51-BP51)/BP51,""),"—")</f>
        <v/>
      </c>
      <c r="BU51" s="29">
        <f>IFERROR(IF(AND(BK51&lt;&gt;"",BP51&lt;&gt;""),(BP51-BK51)/BK51,""),"—")</f>
        <v/>
      </c>
    </row>
    <row r="52">
      <c r="AK52" s="14">
        <f>IFERROR(IF(AND(AG52&lt;&gt;"",AH52&lt;&gt;""),AG52*AH52,IF(AI52&lt;&gt;"",AI52,IF(AJ52&lt;&gt;"",AJ52*43560,""))),"ERROR")</f>
        <v/>
      </c>
      <c r="AL52" s="15">
        <f>IFERROR(IF(AK52&lt;&gt;"",AK52/43560,""),"—")</f>
        <v/>
      </c>
      <c r="AN52" s="14">
        <f>IFERROR(IF(AL52="","",IF(AL52&lt;2,"Residential (&lt;2ac)",IF(AL52&lt;10,"Small Rural (2-10ac)",IF(AL52&lt;40,"Rural (10-40ac)",IF(AL52&lt;100,"Farm/Estate (40-100ac)","Large Farm (100+ac)"))))),"—")</f>
        <v/>
      </c>
      <c r="AZ52" s="21" t="n"/>
      <c r="BF52" s="21" t="n"/>
      <c r="BG52" s="21" t="n"/>
      <c r="BH52" s="22">
        <f>IFERROR(IF(AND(BF52&lt;&gt;"",BG52&lt;&gt;""),AVERAGE(BF52,BG52),""),"—")</f>
        <v/>
      </c>
      <c r="BK52" s="21" t="n"/>
      <c r="BM52" s="21" t="n"/>
      <c r="BN52" s="28">
        <f>IFERROR(IF(AND(BK52&lt;&gt;"",BM52&lt;&gt;""),IF(BM52&lt;BK52,1,0),""),"")</f>
        <v/>
      </c>
      <c r="BP52" s="21" t="n"/>
      <c r="BS52" s="29">
        <f>IFERROR(IF(AND(BH52&lt;&gt;"",BK52&lt;&gt;""),(BH52-BK52)/BK52,""),"—")</f>
        <v/>
      </c>
      <c r="BT52" s="29">
        <f>IFERROR(IF(AND(BH52&lt;&gt;"",BP52&lt;&gt;""),(BH52-BP52)/BP52,""),"—")</f>
        <v/>
      </c>
      <c r="BU52" s="29">
        <f>IFERROR(IF(AND(BK52&lt;&gt;"",BP52&lt;&gt;""),(BP52-BK52)/BK52,""),"—")</f>
        <v/>
      </c>
    </row>
    <row r="53">
      <c r="AK53" s="14">
        <f>IFERROR(IF(AND(AG53&lt;&gt;"",AH53&lt;&gt;""),AG53*AH53,IF(AI53&lt;&gt;"",AI53,IF(AJ53&lt;&gt;"",AJ53*43560,""))),"ERROR")</f>
        <v/>
      </c>
      <c r="AL53" s="15">
        <f>IFERROR(IF(AK53&lt;&gt;"",AK53/43560,""),"—")</f>
        <v/>
      </c>
      <c r="AN53" s="14">
        <f>IFERROR(IF(AL53="","",IF(AL53&lt;2,"Residential (&lt;2ac)",IF(AL53&lt;10,"Small Rural (2-10ac)",IF(AL53&lt;40,"Rural (10-40ac)",IF(AL53&lt;100,"Farm/Estate (40-100ac)","Large Farm (100+ac)"))))),"—")</f>
        <v/>
      </c>
      <c r="AZ53" s="21" t="n"/>
      <c r="BF53" s="21" t="n"/>
      <c r="BG53" s="21" t="n"/>
      <c r="BH53" s="22">
        <f>IFERROR(IF(AND(BF53&lt;&gt;"",BG53&lt;&gt;""),AVERAGE(BF53,BG53),""),"—")</f>
        <v/>
      </c>
      <c r="BK53" s="21" t="n"/>
      <c r="BM53" s="21" t="n"/>
      <c r="BN53" s="28">
        <f>IFERROR(IF(AND(BK53&lt;&gt;"",BM53&lt;&gt;""),IF(BM53&lt;BK53,1,0),""),"")</f>
        <v/>
      </c>
      <c r="BP53" s="21" t="n"/>
      <c r="BS53" s="29">
        <f>IFERROR(IF(AND(BH53&lt;&gt;"",BK53&lt;&gt;""),(BH53-BK53)/BK53,""),"—")</f>
        <v/>
      </c>
      <c r="BT53" s="29">
        <f>IFERROR(IF(AND(BH53&lt;&gt;"",BP53&lt;&gt;""),(BH53-BP53)/BP53,""),"—")</f>
        <v/>
      </c>
      <c r="BU53" s="29">
        <f>IFERROR(IF(AND(BK53&lt;&gt;"",BP53&lt;&gt;""),(BP53-BK53)/BK53,""),"—")</f>
        <v/>
      </c>
    </row>
    <row r="54">
      <c r="AK54" s="14">
        <f>IFERROR(IF(AND(AG54&lt;&gt;"",AH54&lt;&gt;""),AG54*AH54,IF(AI54&lt;&gt;"",AI54,IF(AJ54&lt;&gt;"",AJ54*43560,""))),"ERROR")</f>
        <v/>
      </c>
      <c r="AL54" s="15">
        <f>IFERROR(IF(AK54&lt;&gt;"",AK54/43560,""),"—")</f>
        <v/>
      </c>
      <c r="AN54" s="14">
        <f>IFERROR(IF(AL54="","",IF(AL54&lt;2,"Residential (&lt;2ac)",IF(AL54&lt;10,"Small Rural (2-10ac)",IF(AL54&lt;40,"Rural (10-40ac)",IF(AL54&lt;100,"Farm/Estate (40-100ac)","Large Farm (100+ac)"))))),"—")</f>
        <v/>
      </c>
      <c r="AZ54" s="21" t="n"/>
      <c r="BF54" s="21" t="n"/>
      <c r="BG54" s="21" t="n"/>
      <c r="BH54" s="22">
        <f>IFERROR(IF(AND(BF54&lt;&gt;"",BG54&lt;&gt;""),AVERAGE(BF54,BG54),""),"—")</f>
        <v/>
      </c>
      <c r="BK54" s="21" t="n"/>
      <c r="BM54" s="21" t="n"/>
      <c r="BN54" s="28">
        <f>IFERROR(IF(AND(BK54&lt;&gt;"",BM54&lt;&gt;""),IF(BM54&lt;BK54,1,0),""),"")</f>
        <v/>
      </c>
      <c r="BP54" s="21" t="n"/>
      <c r="BS54" s="29">
        <f>IFERROR(IF(AND(BH54&lt;&gt;"",BK54&lt;&gt;""),(BH54-BK54)/BK54,""),"—")</f>
        <v/>
      </c>
      <c r="BT54" s="29">
        <f>IFERROR(IF(AND(BH54&lt;&gt;"",BP54&lt;&gt;""),(BH54-BP54)/BP54,""),"—")</f>
        <v/>
      </c>
      <c r="BU54" s="29">
        <f>IFERROR(IF(AND(BK54&lt;&gt;"",BP54&lt;&gt;""),(BP54-BK54)/BK54,""),"—")</f>
        <v/>
      </c>
    </row>
    <row r="55">
      <c r="AK55" s="14">
        <f>IFERROR(IF(AND(AG55&lt;&gt;"",AH55&lt;&gt;""),AG55*AH55,IF(AI55&lt;&gt;"",AI55,IF(AJ55&lt;&gt;"",AJ55*43560,""))),"ERROR")</f>
        <v/>
      </c>
      <c r="AL55" s="15">
        <f>IFERROR(IF(AK55&lt;&gt;"",AK55/43560,""),"—")</f>
        <v/>
      </c>
      <c r="AN55" s="14">
        <f>IFERROR(IF(AL55="","",IF(AL55&lt;2,"Residential (&lt;2ac)",IF(AL55&lt;10,"Small Rural (2-10ac)",IF(AL55&lt;40,"Rural (10-40ac)",IF(AL55&lt;100,"Farm/Estate (40-100ac)","Large Farm (100+ac)"))))),"—")</f>
        <v/>
      </c>
      <c r="AZ55" s="21" t="n"/>
      <c r="BF55" s="21" t="n"/>
      <c r="BG55" s="21" t="n"/>
      <c r="BH55" s="22">
        <f>IFERROR(IF(AND(BF55&lt;&gt;"",BG55&lt;&gt;""),AVERAGE(BF55,BG55),""),"—")</f>
        <v/>
      </c>
      <c r="BK55" s="21" t="n"/>
      <c r="BM55" s="21" t="n"/>
      <c r="BN55" s="28">
        <f>IFERROR(IF(AND(BK55&lt;&gt;"",BM55&lt;&gt;""),IF(BM55&lt;BK55,1,0),""),"")</f>
        <v/>
      </c>
      <c r="BP55" s="21" t="n"/>
      <c r="BS55" s="29">
        <f>IFERROR(IF(AND(BH55&lt;&gt;"",BK55&lt;&gt;""),(BH55-BK55)/BK55,""),"—")</f>
        <v/>
      </c>
      <c r="BT55" s="29">
        <f>IFERROR(IF(AND(BH55&lt;&gt;"",BP55&lt;&gt;""),(BH55-BP55)/BP55,""),"—")</f>
        <v/>
      </c>
      <c r="BU55" s="29">
        <f>IFERROR(IF(AND(BK55&lt;&gt;"",BP55&lt;&gt;""),(BP55-BK55)/BK55,""),"—")</f>
        <v/>
      </c>
    </row>
    <row r="56">
      <c r="AK56" s="14">
        <f>IFERROR(IF(AND(AG56&lt;&gt;"",AH56&lt;&gt;""),AG56*AH56,IF(AI56&lt;&gt;"",AI56,IF(AJ56&lt;&gt;"",AJ56*43560,""))),"ERROR")</f>
        <v/>
      </c>
      <c r="AL56" s="15">
        <f>IFERROR(IF(AK56&lt;&gt;"",AK56/43560,""),"—")</f>
        <v/>
      </c>
      <c r="AN56" s="14">
        <f>IFERROR(IF(AL56="","",IF(AL56&lt;2,"Residential (&lt;2ac)",IF(AL56&lt;10,"Small Rural (2-10ac)",IF(AL56&lt;40,"Rural (10-40ac)",IF(AL56&lt;100,"Farm/Estate (40-100ac)","Large Farm (100+ac)"))))),"—")</f>
        <v/>
      </c>
      <c r="AZ56" s="21" t="n"/>
      <c r="BF56" s="21" t="n"/>
      <c r="BG56" s="21" t="n"/>
      <c r="BH56" s="22">
        <f>IFERROR(IF(AND(BF56&lt;&gt;"",BG56&lt;&gt;""),AVERAGE(BF56,BG56),""),"—")</f>
        <v/>
      </c>
      <c r="BK56" s="21" t="n"/>
      <c r="BM56" s="21" t="n"/>
      <c r="BN56" s="28">
        <f>IFERROR(IF(AND(BK56&lt;&gt;"",BM56&lt;&gt;""),IF(BM56&lt;BK56,1,0),""),"")</f>
        <v/>
      </c>
      <c r="BP56" s="21" t="n"/>
      <c r="BS56" s="29">
        <f>IFERROR(IF(AND(BH56&lt;&gt;"",BK56&lt;&gt;""),(BH56-BK56)/BK56,""),"—")</f>
        <v/>
      </c>
      <c r="BT56" s="29">
        <f>IFERROR(IF(AND(BH56&lt;&gt;"",BP56&lt;&gt;""),(BH56-BP56)/BP56,""),"—")</f>
        <v/>
      </c>
      <c r="BU56" s="29">
        <f>IFERROR(IF(AND(BK56&lt;&gt;"",BP56&lt;&gt;""),(BP56-BK56)/BK56,""),"—")</f>
        <v/>
      </c>
    </row>
    <row r="57">
      <c r="AK57" s="14">
        <f>IFERROR(IF(AND(AG57&lt;&gt;"",AH57&lt;&gt;""),AG57*AH57,IF(AI57&lt;&gt;"",AI57,IF(AJ57&lt;&gt;"",AJ57*43560,""))),"ERROR")</f>
        <v/>
      </c>
      <c r="AL57" s="15">
        <f>IFERROR(IF(AK57&lt;&gt;"",AK57/43560,""),"—")</f>
        <v/>
      </c>
      <c r="AN57" s="14">
        <f>IFERROR(IF(AL57="","",IF(AL57&lt;2,"Residential (&lt;2ac)",IF(AL57&lt;10,"Small Rural (2-10ac)",IF(AL57&lt;40,"Rural (10-40ac)",IF(AL57&lt;100,"Farm/Estate (40-100ac)","Large Farm (100+ac)"))))),"—")</f>
        <v/>
      </c>
      <c r="AZ57" s="21" t="n"/>
      <c r="BF57" s="21" t="n"/>
      <c r="BG57" s="21" t="n"/>
      <c r="BH57" s="22">
        <f>IFERROR(IF(AND(BF57&lt;&gt;"",BG57&lt;&gt;""),AVERAGE(BF57,BG57),""),"—")</f>
        <v/>
      </c>
      <c r="BK57" s="21" t="n"/>
      <c r="BM57" s="21" t="n"/>
      <c r="BN57" s="28">
        <f>IFERROR(IF(AND(BK57&lt;&gt;"",BM57&lt;&gt;""),IF(BM57&lt;BK57,1,0),""),"")</f>
        <v/>
      </c>
      <c r="BP57" s="21" t="n"/>
      <c r="BS57" s="29">
        <f>IFERROR(IF(AND(BH57&lt;&gt;"",BK57&lt;&gt;""),(BH57-BK57)/BK57,""),"—")</f>
        <v/>
      </c>
      <c r="BT57" s="29">
        <f>IFERROR(IF(AND(BH57&lt;&gt;"",BP57&lt;&gt;""),(BH57-BP57)/BP57,""),"—")</f>
        <v/>
      </c>
      <c r="BU57" s="29">
        <f>IFERROR(IF(AND(BK57&lt;&gt;"",BP57&lt;&gt;""),(BP57-BK57)/BK57,""),"—")</f>
        <v/>
      </c>
    </row>
    <row r="58">
      <c r="AK58" s="14">
        <f>IFERROR(IF(AND(AG58&lt;&gt;"",AH58&lt;&gt;""),AG58*AH58,IF(AI58&lt;&gt;"",AI58,IF(AJ58&lt;&gt;"",AJ58*43560,""))),"ERROR")</f>
        <v/>
      </c>
      <c r="AL58" s="15">
        <f>IFERROR(IF(AK58&lt;&gt;"",AK58/43560,""),"—")</f>
        <v/>
      </c>
      <c r="AN58" s="14">
        <f>IFERROR(IF(AL58="","",IF(AL58&lt;2,"Residential (&lt;2ac)",IF(AL58&lt;10,"Small Rural (2-10ac)",IF(AL58&lt;40,"Rural (10-40ac)",IF(AL58&lt;100,"Farm/Estate (40-100ac)","Large Farm (100+ac)"))))),"—")</f>
        <v/>
      </c>
      <c r="AZ58" s="21" t="n"/>
      <c r="BF58" s="21" t="n"/>
      <c r="BG58" s="21" t="n"/>
      <c r="BH58" s="22">
        <f>IFERROR(IF(AND(BF58&lt;&gt;"",BG58&lt;&gt;""),AVERAGE(BF58,BG58),""),"—")</f>
        <v/>
      </c>
      <c r="BK58" s="21" t="n"/>
      <c r="BM58" s="21" t="n"/>
      <c r="BN58" s="28">
        <f>IFERROR(IF(AND(BK58&lt;&gt;"",BM58&lt;&gt;""),IF(BM58&lt;BK58,1,0),""),"")</f>
        <v/>
      </c>
      <c r="BP58" s="21" t="n"/>
      <c r="BS58" s="29">
        <f>IFERROR(IF(AND(BH58&lt;&gt;"",BK58&lt;&gt;""),(BH58-BK58)/BK58,""),"—")</f>
        <v/>
      </c>
      <c r="BT58" s="29">
        <f>IFERROR(IF(AND(BH58&lt;&gt;"",BP58&lt;&gt;""),(BH58-BP58)/BP58,""),"—")</f>
        <v/>
      </c>
      <c r="BU58" s="29">
        <f>IFERROR(IF(AND(BK58&lt;&gt;"",BP58&lt;&gt;""),(BP58-BK58)/BK58,""),"—")</f>
        <v/>
      </c>
    </row>
    <row r="59">
      <c r="AK59" s="14">
        <f>IFERROR(IF(AND(AG59&lt;&gt;"",AH59&lt;&gt;""),AG59*AH59,IF(AI59&lt;&gt;"",AI59,IF(AJ59&lt;&gt;"",AJ59*43560,""))),"ERROR")</f>
        <v/>
      </c>
      <c r="AL59" s="15">
        <f>IFERROR(IF(AK59&lt;&gt;"",AK59/43560,""),"—")</f>
        <v/>
      </c>
      <c r="AN59" s="14">
        <f>IFERROR(IF(AL59="","",IF(AL59&lt;2,"Residential (&lt;2ac)",IF(AL59&lt;10,"Small Rural (2-10ac)",IF(AL59&lt;40,"Rural (10-40ac)",IF(AL59&lt;100,"Farm/Estate (40-100ac)","Large Farm (100+ac)"))))),"—")</f>
        <v/>
      </c>
      <c r="AZ59" s="21" t="n"/>
      <c r="BF59" s="21" t="n"/>
      <c r="BG59" s="21" t="n"/>
      <c r="BH59" s="22">
        <f>IFERROR(IF(AND(BF59&lt;&gt;"",BG59&lt;&gt;""),AVERAGE(BF59,BG59),""),"—")</f>
        <v/>
      </c>
      <c r="BK59" s="21" t="n"/>
      <c r="BM59" s="21" t="n"/>
      <c r="BN59" s="28">
        <f>IFERROR(IF(AND(BK59&lt;&gt;"",BM59&lt;&gt;""),IF(BM59&lt;BK59,1,0),""),"")</f>
        <v/>
      </c>
      <c r="BP59" s="21" t="n"/>
      <c r="BS59" s="29">
        <f>IFERROR(IF(AND(BH59&lt;&gt;"",BK59&lt;&gt;""),(BH59-BK59)/BK59,""),"—")</f>
        <v/>
      </c>
      <c r="BT59" s="29">
        <f>IFERROR(IF(AND(BH59&lt;&gt;"",BP59&lt;&gt;""),(BH59-BP59)/BP59,""),"—")</f>
        <v/>
      </c>
      <c r="BU59" s="29">
        <f>IFERROR(IF(AND(BK59&lt;&gt;"",BP59&lt;&gt;""),(BP59-BK59)/BK59,""),"—")</f>
        <v/>
      </c>
    </row>
    <row r="60">
      <c r="AK60" s="14">
        <f>IFERROR(IF(AND(AG60&lt;&gt;"",AH60&lt;&gt;""),AG60*AH60,IF(AI60&lt;&gt;"",AI60,IF(AJ60&lt;&gt;"",AJ60*43560,""))),"ERROR")</f>
        <v/>
      </c>
      <c r="AL60" s="15">
        <f>IFERROR(IF(AK60&lt;&gt;"",AK60/43560,""),"—")</f>
        <v/>
      </c>
      <c r="AN60" s="14">
        <f>IFERROR(IF(AL60="","",IF(AL60&lt;2,"Residential (&lt;2ac)",IF(AL60&lt;10,"Small Rural (2-10ac)",IF(AL60&lt;40,"Rural (10-40ac)",IF(AL60&lt;100,"Farm/Estate (40-100ac)","Large Farm (100+ac)"))))),"—")</f>
        <v/>
      </c>
      <c r="AZ60" s="21" t="n"/>
      <c r="BF60" s="21" t="n"/>
      <c r="BG60" s="21" t="n"/>
      <c r="BH60" s="22">
        <f>IFERROR(IF(AND(BF60&lt;&gt;"",BG60&lt;&gt;""),AVERAGE(BF60,BG60),""),"—")</f>
        <v/>
      </c>
      <c r="BK60" s="21" t="n"/>
      <c r="BM60" s="21" t="n"/>
      <c r="BN60" s="28">
        <f>IFERROR(IF(AND(BK60&lt;&gt;"",BM60&lt;&gt;""),IF(BM60&lt;BK60,1,0),""),"")</f>
        <v/>
      </c>
      <c r="BP60" s="21" t="n"/>
      <c r="BS60" s="29">
        <f>IFERROR(IF(AND(BH60&lt;&gt;"",BK60&lt;&gt;""),(BH60-BK60)/BK60,""),"—")</f>
        <v/>
      </c>
      <c r="BT60" s="29">
        <f>IFERROR(IF(AND(BH60&lt;&gt;"",BP60&lt;&gt;""),(BH60-BP60)/BP60,""),"—")</f>
        <v/>
      </c>
      <c r="BU60" s="29">
        <f>IFERROR(IF(AND(BK60&lt;&gt;"",BP60&lt;&gt;""),(BP60-BK60)/BK60,""),"—")</f>
        <v/>
      </c>
    </row>
    <row r="61">
      <c r="AK61" s="14">
        <f>IFERROR(IF(AND(AG61&lt;&gt;"",AH61&lt;&gt;""),AG61*AH61,IF(AI61&lt;&gt;"",AI61,IF(AJ61&lt;&gt;"",AJ61*43560,""))),"ERROR")</f>
        <v/>
      </c>
      <c r="AL61" s="15">
        <f>IFERROR(IF(AK61&lt;&gt;"",AK61/43560,""),"—")</f>
        <v/>
      </c>
      <c r="AN61" s="14">
        <f>IFERROR(IF(AL61="","",IF(AL61&lt;2,"Residential (&lt;2ac)",IF(AL61&lt;10,"Small Rural (2-10ac)",IF(AL61&lt;40,"Rural (10-40ac)",IF(AL61&lt;100,"Farm/Estate (40-100ac)","Large Farm (100+ac)"))))),"—")</f>
        <v/>
      </c>
      <c r="AZ61" s="21" t="n"/>
      <c r="BF61" s="21" t="n"/>
      <c r="BG61" s="21" t="n"/>
      <c r="BH61" s="22">
        <f>IFERROR(IF(AND(BF61&lt;&gt;"",BG61&lt;&gt;""),AVERAGE(BF61,BG61),""),"—")</f>
        <v/>
      </c>
      <c r="BK61" s="21" t="n"/>
      <c r="BM61" s="21" t="n"/>
      <c r="BN61" s="28">
        <f>IFERROR(IF(AND(BK61&lt;&gt;"",BM61&lt;&gt;""),IF(BM61&lt;BK61,1,0),""),"")</f>
        <v/>
      </c>
      <c r="BP61" s="21" t="n"/>
      <c r="BS61" s="29">
        <f>IFERROR(IF(AND(BH61&lt;&gt;"",BK61&lt;&gt;""),(BH61-BK61)/BK61,""),"—")</f>
        <v/>
      </c>
      <c r="BT61" s="29">
        <f>IFERROR(IF(AND(BH61&lt;&gt;"",BP61&lt;&gt;""),(BH61-BP61)/BP61,""),"—")</f>
        <v/>
      </c>
      <c r="BU61" s="29">
        <f>IFERROR(IF(AND(BK61&lt;&gt;"",BP61&lt;&gt;""),(BP61-BK61)/BK61,""),"—")</f>
        <v/>
      </c>
    </row>
    <row r="62">
      <c r="AK62" s="14">
        <f>IFERROR(IF(AND(AG62&lt;&gt;"",AH62&lt;&gt;""),AG62*AH62,IF(AI62&lt;&gt;"",AI62,IF(AJ62&lt;&gt;"",AJ62*43560,""))),"ERROR")</f>
        <v/>
      </c>
      <c r="AL62" s="15">
        <f>IFERROR(IF(AK62&lt;&gt;"",AK62/43560,""),"—")</f>
        <v/>
      </c>
      <c r="AN62" s="14">
        <f>IFERROR(IF(AL62="","",IF(AL62&lt;2,"Residential (&lt;2ac)",IF(AL62&lt;10,"Small Rural (2-10ac)",IF(AL62&lt;40,"Rural (10-40ac)",IF(AL62&lt;100,"Farm/Estate (40-100ac)","Large Farm (100+ac)"))))),"—")</f>
        <v/>
      </c>
      <c r="AZ62" s="21" t="n"/>
      <c r="BF62" s="21" t="n"/>
      <c r="BG62" s="21" t="n"/>
      <c r="BH62" s="22">
        <f>IFERROR(IF(AND(BF62&lt;&gt;"",BG62&lt;&gt;""),AVERAGE(BF62,BG62),""),"—")</f>
        <v/>
      </c>
      <c r="BK62" s="21" t="n"/>
      <c r="BM62" s="21" t="n"/>
      <c r="BN62" s="28">
        <f>IFERROR(IF(AND(BK62&lt;&gt;"",BM62&lt;&gt;""),IF(BM62&lt;BK62,1,0),""),"")</f>
        <v/>
      </c>
      <c r="BP62" s="21" t="n"/>
      <c r="BS62" s="29">
        <f>IFERROR(IF(AND(BH62&lt;&gt;"",BK62&lt;&gt;""),(BH62-BK62)/BK62,""),"—")</f>
        <v/>
      </c>
      <c r="BT62" s="29">
        <f>IFERROR(IF(AND(BH62&lt;&gt;"",BP62&lt;&gt;""),(BH62-BP62)/BP62,""),"—")</f>
        <v/>
      </c>
      <c r="BU62" s="29">
        <f>IFERROR(IF(AND(BK62&lt;&gt;"",BP62&lt;&gt;""),(BP62-BK62)/BK62,""),"—")</f>
        <v/>
      </c>
    </row>
    <row r="63">
      <c r="AK63" s="14">
        <f>IFERROR(IF(AND(AG63&lt;&gt;"",AH63&lt;&gt;""),AG63*AH63,IF(AI63&lt;&gt;"",AI63,IF(AJ63&lt;&gt;"",AJ63*43560,""))),"ERROR")</f>
        <v/>
      </c>
      <c r="AL63" s="15">
        <f>IFERROR(IF(AK63&lt;&gt;"",AK63/43560,""),"—")</f>
        <v/>
      </c>
      <c r="AN63" s="14">
        <f>IFERROR(IF(AL63="","",IF(AL63&lt;2,"Residential (&lt;2ac)",IF(AL63&lt;10,"Small Rural (2-10ac)",IF(AL63&lt;40,"Rural (10-40ac)",IF(AL63&lt;100,"Farm/Estate (40-100ac)","Large Farm (100+ac)"))))),"—")</f>
        <v/>
      </c>
      <c r="AZ63" s="21" t="n"/>
      <c r="BF63" s="21" t="n"/>
      <c r="BG63" s="21" t="n"/>
      <c r="BH63" s="22">
        <f>IFERROR(IF(AND(BF63&lt;&gt;"",BG63&lt;&gt;""),AVERAGE(BF63,BG63),""),"—")</f>
        <v/>
      </c>
      <c r="BK63" s="21" t="n"/>
      <c r="BM63" s="21" t="n"/>
      <c r="BN63" s="28">
        <f>IFERROR(IF(AND(BK63&lt;&gt;"",BM63&lt;&gt;""),IF(BM63&lt;BK63,1,0),""),"")</f>
        <v/>
      </c>
      <c r="BP63" s="21" t="n"/>
      <c r="BS63" s="29">
        <f>IFERROR(IF(AND(BH63&lt;&gt;"",BK63&lt;&gt;""),(BH63-BK63)/BK63,""),"—")</f>
        <v/>
      </c>
      <c r="BT63" s="29">
        <f>IFERROR(IF(AND(BH63&lt;&gt;"",BP63&lt;&gt;""),(BH63-BP63)/BP63,""),"—")</f>
        <v/>
      </c>
      <c r="BU63" s="29">
        <f>IFERROR(IF(AND(BK63&lt;&gt;"",BP63&lt;&gt;""),(BP63-BK63)/BK63,""),"—")</f>
        <v/>
      </c>
    </row>
    <row r="64">
      <c r="AK64" s="14">
        <f>IFERROR(IF(AND(AG64&lt;&gt;"",AH64&lt;&gt;""),AG64*AH64,IF(AI64&lt;&gt;"",AI64,IF(AJ64&lt;&gt;"",AJ64*43560,""))),"ERROR")</f>
        <v/>
      </c>
      <c r="AL64" s="15">
        <f>IFERROR(IF(AK64&lt;&gt;"",AK64/43560,""),"—")</f>
        <v/>
      </c>
      <c r="AN64" s="14">
        <f>IFERROR(IF(AL64="","",IF(AL64&lt;2,"Residential (&lt;2ac)",IF(AL64&lt;10,"Small Rural (2-10ac)",IF(AL64&lt;40,"Rural (10-40ac)",IF(AL64&lt;100,"Farm/Estate (40-100ac)","Large Farm (100+ac)"))))),"—")</f>
        <v/>
      </c>
      <c r="AZ64" s="21" t="n"/>
      <c r="BF64" s="21" t="n"/>
      <c r="BG64" s="21" t="n"/>
      <c r="BH64" s="22">
        <f>IFERROR(IF(AND(BF64&lt;&gt;"",BG64&lt;&gt;""),AVERAGE(BF64,BG64),""),"—")</f>
        <v/>
      </c>
      <c r="BK64" s="21" t="n"/>
      <c r="BM64" s="21" t="n"/>
      <c r="BN64" s="28">
        <f>IFERROR(IF(AND(BK64&lt;&gt;"",BM64&lt;&gt;""),IF(BM64&lt;BK64,1,0),""),"")</f>
        <v/>
      </c>
      <c r="BP64" s="21" t="n"/>
      <c r="BS64" s="29">
        <f>IFERROR(IF(AND(BH64&lt;&gt;"",BK64&lt;&gt;""),(BH64-BK64)/BK64,""),"—")</f>
        <v/>
      </c>
      <c r="BT64" s="29">
        <f>IFERROR(IF(AND(BH64&lt;&gt;"",BP64&lt;&gt;""),(BH64-BP64)/BP64,""),"—")</f>
        <v/>
      </c>
      <c r="BU64" s="29">
        <f>IFERROR(IF(AND(BK64&lt;&gt;"",BP64&lt;&gt;""),(BP64-BK64)/BK64,""),"—")</f>
        <v/>
      </c>
    </row>
    <row r="65">
      <c r="AK65" s="14">
        <f>IFERROR(IF(AND(AG65&lt;&gt;"",AH65&lt;&gt;""),AG65*AH65,IF(AI65&lt;&gt;"",AI65,IF(AJ65&lt;&gt;"",AJ65*43560,""))),"ERROR")</f>
        <v/>
      </c>
      <c r="AL65" s="15">
        <f>IFERROR(IF(AK65&lt;&gt;"",AK65/43560,""),"—")</f>
        <v/>
      </c>
      <c r="AN65" s="14">
        <f>IFERROR(IF(AL65="","",IF(AL65&lt;2,"Residential (&lt;2ac)",IF(AL65&lt;10,"Small Rural (2-10ac)",IF(AL65&lt;40,"Rural (10-40ac)",IF(AL65&lt;100,"Farm/Estate (40-100ac)","Large Farm (100+ac)"))))),"—")</f>
        <v/>
      </c>
      <c r="AZ65" s="21" t="n"/>
      <c r="BF65" s="21" t="n"/>
      <c r="BG65" s="21" t="n"/>
      <c r="BH65" s="22">
        <f>IFERROR(IF(AND(BF65&lt;&gt;"",BG65&lt;&gt;""),AVERAGE(BF65,BG65),""),"—")</f>
        <v/>
      </c>
      <c r="BK65" s="21" t="n"/>
      <c r="BM65" s="21" t="n"/>
      <c r="BN65" s="28">
        <f>IFERROR(IF(AND(BK65&lt;&gt;"",BM65&lt;&gt;""),IF(BM65&lt;BK65,1,0),""),"")</f>
        <v/>
      </c>
      <c r="BP65" s="21" t="n"/>
      <c r="BS65" s="29">
        <f>IFERROR(IF(AND(BH65&lt;&gt;"",BK65&lt;&gt;""),(BH65-BK65)/BK65,""),"—")</f>
        <v/>
      </c>
      <c r="BT65" s="29">
        <f>IFERROR(IF(AND(BH65&lt;&gt;"",BP65&lt;&gt;""),(BH65-BP65)/BP65,""),"—")</f>
        <v/>
      </c>
      <c r="BU65" s="29">
        <f>IFERROR(IF(AND(BK65&lt;&gt;"",BP65&lt;&gt;""),(BP65-BK65)/BK65,""),"—")</f>
        <v/>
      </c>
    </row>
    <row r="66">
      <c r="AK66" s="14">
        <f>IFERROR(IF(AND(AG66&lt;&gt;"",AH66&lt;&gt;""),AG66*AH66,IF(AI66&lt;&gt;"",AI66,IF(AJ66&lt;&gt;"",AJ66*43560,""))),"ERROR")</f>
        <v/>
      </c>
      <c r="AL66" s="15">
        <f>IFERROR(IF(AK66&lt;&gt;"",AK66/43560,""),"—")</f>
        <v/>
      </c>
      <c r="AN66" s="14">
        <f>IFERROR(IF(AL66="","",IF(AL66&lt;2,"Residential (&lt;2ac)",IF(AL66&lt;10,"Small Rural (2-10ac)",IF(AL66&lt;40,"Rural (10-40ac)",IF(AL66&lt;100,"Farm/Estate (40-100ac)","Large Farm (100+ac)"))))),"—")</f>
        <v/>
      </c>
      <c r="AZ66" s="21" t="n"/>
      <c r="BF66" s="21" t="n"/>
      <c r="BG66" s="21" t="n"/>
      <c r="BH66" s="22">
        <f>IFERROR(IF(AND(BF66&lt;&gt;"",BG66&lt;&gt;""),AVERAGE(BF66,BG66),""),"—")</f>
        <v/>
      </c>
      <c r="BK66" s="21" t="n"/>
      <c r="BM66" s="21" t="n"/>
      <c r="BN66" s="28">
        <f>IFERROR(IF(AND(BK66&lt;&gt;"",BM66&lt;&gt;""),IF(BM66&lt;BK66,1,0),""),"")</f>
        <v/>
      </c>
      <c r="BP66" s="21" t="n"/>
      <c r="BS66" s="29">
        <f>IFERROR(IF(AND(BH66&lt;&gt;"",BK66&lt;&gt;""),(BH66-BK66)/BK66,""),"—")</f>
        <v/>
      </c>
      <c r="BT66" s="29">
        <f>IFERROR(IF(AND(BH66&lt;&gt;"",BP66&lt;&gt;""),(BH66-BP66)/BP66,""),"—")</f>
        <v/>
      </c>
      <c r="BU66" s="29">
        <f>IFERROR(IF(AND(BK66&lt;&gt;"",BP66&lt;&gt;""),(BP66-BK66)/BK66,""),"—")</f>
        <v/>
      </c>
    </row>
    <row r="67">
      <c r="AK67" s="14">
        <f>IFERROR(IF(AND(AG67&lt;&gt;"",AH67&lt;&gt;""),AG67*AH67,IF(AI67&lt;&gt;"",AI67,IF(AJ67&lt;&gt;"",AJ67*43560,""))),"ERROR")</f>
        <v/>
      </c>
      <c r="AL67" s="15">
        <f>IFERROR(IF(AK67&lt;&gt;"",AK67/43560,""),"—")</f>
        <v/>
      </c>
      <c r="AN67" s="14">
        <f>IFERROR(IF(AL67="","",IF(AL67&lt;2,"Residential (&lt;2ac)",IF(AL67&lt;10,"Small Rural (2-10ac)",IF(AL67&lt;40,"Rural (10-40ac)",IF(AL67&lt;100,"Farm/Estate (40-100ac)","Large Farm (100+ac)"))))),"—")</f>
        <v/>
      </c>
      <c r="AZ67" s="21" t="n"/>
      <c r="BF67" s="21" t="n"/>
      <c r="BG67" s="21" t="n"/>
      <c r="BH67" s="22">
        <f>IFERROR(IF(AND(BF67&lt;&gt;"",BG67&lt;&gt;""),AVERAGE(BF67,BG67),""),"—")</f>
        <v/>
      </c>
      <c r="BK67" s="21" t="n"/>
      <c r="BM67" s="21" t="n"/>
      <c r="BN67" s="28">
        <f>IFERROR(IF(AND(BK67&lt;&gt;"",BM67&lt;&gt;""),IF(BM67&lt;BK67,1,0),""),"")</f>
        <v/>
      </c>
      <c r="BP67" s="21" t="n"/>
      <c r="BS67" s="29">
        <f>IFERROR(IF(AND(BH67&lt;&gt;"",BK67&lt;&gt;""),(BH67-BK67)/BK67,""),"—")</f>
        <v/>
      </c>
      <c r="BT67" s="29">
        <f>IFERROR(IF(AND(BH67&lt;&gt;"",BP67&lt;&gt;""),(BH67-BP67)/BP67,""),"—")</f>
        <v/>
      </c>
      <c r="BU67" s="29">
        <f>IFERROR(IF(AND(BK67&lt;&gt;"",BP67&lt;&gt;""),(BP67-BK67)/BK67,""),"—")</f>
        <v/>
      </c>
    </row>
    <row r="68">
      <c r="AK68" s="14">
        <f>IFERROR(IF(AND(AG68&lt;&gt;"",AH68&lt;&gt;""),AG68*AH68,IF(AI68&lt;&gt;"",AI68,IF(AJ68&lt;&gt;"",AJ68*43560,""))),"ERROR")</f>
        <v/>
      </c>
      <c r="AL68" s="15">
        <f>IFERROR(IF(AK68&lt;&gt;"",AK68/43560,""),"—")</f>
        <v/>
      </c>
      <c r="AN68" s="14">
        <f>IFERROR(IF(AL68="","",IF(AL68&lt;2,"Residential (&lt;2ac)",IF(AL68&lt;10,"Small Rural (2-10ac)",IF(AL68&lt;40,"Rural (10-40ac)",IF(AL68&lt;100,"Farm/Estate (40-100ac)","Large Farm (100+ac)"))))),"—")</f>
        <v/>
      </c>
      <c r="AZ68" s="21" t="n"/>
      <c r="BF68" s="21" t="n"/>
      <c r="BG68" s="21" t="n"/>
      <c r="BH68" s="22">
        <f>IFERROR(IF(AND(BF68&lt;&gt;"",BG68&lt;&gt;""),AVERAGE(BF68,BG68),""),"—")</f>
        <v/>
      </c>
      <c r="BK68" s="21" t="n"/>
      <c r="BM68" s="21" t="n"/>
      <c r="BN68" s="28">
        <f>IFERROR(IF(AND(BK68&lt;&gt;"",BM68&lt;&gt;""),IF(BM68&lt;BK68,1,0),""),"")</f>
        <v/>
      </c>
      <c r="BP68" s="21" t="n"/>
      <c r="BS68" s="29">
        <f>IFERROR(IF(AND(BH68&lt;&gt;"",BK68&lt;&gt;""),(BH68-BK68)/BK68,""),"—")</f>
        <v/>
      </c>
      <c r="BT68" s="29">
        <f>IFERROR(IF(AND(BH68&lt;&gt;"",BP68&lt;&gt;""),(BH68-BP68)/BP68,""),"—")</f>
        <v/>
      </c>
      <c r="BU68" s="29">
        <f>IFERROR(IF(AND(BK68&lt;&gt;"",BP68&lt;&gt;""),(BP68-BK68)/BK68,""),"—")</f>
        <v/>
      </c>
    </row>
    <row r="69">
      <c r="AK69" s="14">
        <f>IFERROR(IF(AND(AG69&lt;&gt;"",AH69&lt;&gt;""),AG69*AH69,IF(AI69&lt;&gt;"",AI69,IF(AJ69&lt;&gt;"",AJ69*43560,""))),"ERROR")</f>
        <v/>
      </c>
      <c r="AL69" s="15">
        <f>IFERROR(IF(AK69&lt;&gt;"",AK69/43560,""),"—")</f>
        <v/>
      </c>
      <c r="AN69" s="14">
        <f>IFERROR(IF(AL69="","",IF(AL69&lt;2,"Residential (&lt;2ac)",IF(AL69&lt;10,"Small Rural (2-10ac)",IF(AL69&lt;40,"Rural (10-40ac)",IF(AL69&lt;100,"Farm/Estate (40-100ac)","Large Farm (100+ac)"))))),"—")</f>
        <v/>
      </c>
      <c r="AZ69" s="21" t="n"/>
      <c r="BF69" s="21" t="n"/>
      <c r="BG69" s="21" t="n"/>
      <c r="BH69" s="22">
        <f>IFERROR(IF(AND(BF69&lt;&gt;"",BG69&lt;&gt;""),AVERAGE(BF69,BG69),""),"—")</f>
        <v/>
      </c>
      <c r="BK69" s="21" t="n"/>
      <c r="BM69" s="21" t="n"/>
      <c r="BN69" s="28">
        <f>IFERROR(IF(AND(BK69&lt;&gt;"",BM69&lt;&gt;""),IF(BM69&lt;BK69,1,0),""),"")</f>
        <v/>
      </c>
      <c r="BP69" s="21" t="n"/>
      <c r="BS69" s="29">
        <f>IFERROR(IF(AND(BH69&lt;&gt;"",BK69&lt;&gt;""),(BH69-BK69)/BK69,""),"—")</f>
        <v/>
      </c>
      <c r="BT69" s="29">
        <f>IFERROR(IF(AND(BH69&lt;&gt;"",BP69&lt;&gt;""),(BH69-BP69)/BP69,""),"—")</f>
        <v/>
      </c>
      <c r="BU69" s="29">
        <f>IFERROR(IF(AND(BK69&lt;&gt;"",BP69&lt;&gt;""),(BP69-BK69)/BK69,""),"—")</f>
        <v/>
      </c>
    </row>
    <row r="70">
      <c r="AK70" s="14">
        <f>IFERROR(IF(AND(AG70&lt;&gt;"",AH70&lt;&gt;""),AG70*AH70,IF(AI70&lt;&gt;"",AI70,IF(AJ70&lt;&gt;"",AJ70*43560,""))),"ERROR")</f>
        <v/>
      </c>
      <c r="AL70" s="15">
        <f>IFERROR(IF(AK70&lt;&gt;"",AK70/43560,""),"—")</f>
        <v/>
      </c>
      <c r="AN70" s="14">
        <f>IFERROR(IF(AL70="","",IF(AL70&lt;2,"Residential (&lt;2ac)",IF(AL70&lt;10,"Small Rural (2-10ac)",IF(AL70&lt;40,"Rural (10-40ac)",IF(AL70&lt;100,"Farm/Estate (40-100ac)","Large Farm (100+ac)"))))),"—")</f>
        <v/>
      </c>
      <c r="AZ70" s="21" t="n"/>
      <c r="BF70" s="21" t="n"/>
      <c r="BG70" s="21" t="n"/>
      <c r="BH70" s="22">
        <f>IFERROR(IF(AND(BF70&lt;&gt;"",BG70&lt;&gt;""),AVERAGE(BF70,BG70),""),"—")</f>
        <v/>
      </c>
      <c r="BK70" s="21" t="n"/>
      <c r="BM70" s="21" t="n"/>
      <c r="BN70" s="28">
        <f>IFERROR(IF(AND(BK70&lt;&gt;"",BM70&lt;&gt;""),IF(BM70&lt;BK70,1,0),""),"")</f>
        <v/>
      </c>
      <c r="BP70" s="21" t="n"/>
      <c r="BS70" s="29">
        <f>IFERROR(IF(AND(BH70&lt;&gt;"",BK70&lt;&gt;""),(BH70-BK70)/BK70,""),"—")</f>
        <v/>
      </c>
      <c r="BT70" s="29">
        <f>IFERROR(IF(AND(BH70&lt;&gt;"",BP70&lt;&gt;""),(BH70-BP70)/BP70,""),"—")</f>
        <v/>
      </c>
      <c r="BU70" s="29">
        <f>IFERROR(IF(AND(BK70&lt;&gt;"",BP70&lt;&gt;""),(BP70-BK70)/BK70,""),"—")</f>
        <v/>
      </c>
    </row>
    <row r="71">
      <c r="AK71" s="14">
        <f>IFERROR(IF(AND(AG71&lt;&gt;"",AH71&lt;&gt;""),AG71*AH71,IF(AI71&lt;&gt;"",AI71,IF(AJ71&lt;&gt;"",AJ71*43560,""))),"ERROR")</f>
        <v/>
      </c>
      <c r="AL71" s="15">
        <f>IFERROR(IF(AK71&lt;&gt;"",AK71/43560,""),"—")</f>
        <v/>
      </c>
      <c r="AN71" s="14">
        <f>IFERROR(IF(AL71="","",IF(AL71&lt;2,"Residential (&lt;2ac)",IF(AL71&lt;10,"Small Rural (2-10ac)",IF(AL71&lt;40,"Rural (10-40ac)",IF(AL71&lt;100,"Farm/Estate (40-100ac)","Large Farm (100+ac)"))))),"—")</f>
        <v/>
      </c>
      <c r="AZ71" s="21" t="n"/>
      <c r="BF71" s="21" t="n"/>
      <c r="BG71" s="21" t="n"/>
      <c r="BH71" s="22">
        <f>IFERROR(IF(AND(BF71&lt;&gt;"",BG71&lt;&gt;""),AVERAGE(BF71,BG71),""),"—")</f>
        <v/>
      </c>
      <c r="BK71" s="21" t="n"/>
      <c r="BM71" s="21" t="n"/>
      <c r="BN71" s="28">
        <f>IFERROR(IF(AND(BK71&lt;&gt;"",BM71&lt;&gt;""),IF(BM71&lt;BK71,1,0),""),"")</f>
        <v/>
      </c>
      <c r="BP71" s="21" t="n"/>
      <c r="BS71" s="29">
        <f>IFERROR(IF(AND(BH71&lt;&gt;"",BK71&lt;&gt;""),(BH71-BK71)/BK71,""),"—")</f>
        <v/>
      </c>
      <c r="BT71" s="29">
        <f>IFERROR(IF(AND(BH71&lt;&gt;"",BP71&lt;&gt;""),(BH71-BP71)/BP71,""),"—")</f>
        <v/>
      </c>
      <c r="BU71" s="29">
        <f>IFERROR(IF(AND(BK71&lt;&gt;"",BP71&lt;&gt;""),(BP71-BK71)/BK71,""),"—")</f>
        <v/>
      </c>
    </row>
    <row r="72">
      <c r="AK72" s="14">
        <f>IFERROR(IF(AND(AG72&lt;&gt;"",AH72&lt;&gt;""),AG72*AH72,IF(AI72&lt;&gt;"",AI72,IF(AJ72&lt;&gt;"",AJ72*43560,""))),"ERROR")</f>
        <v/>
      </c>
      <c r="AL72" s="15">
        <f>IFERROR(IF(AK72&lt;&gt;"",AK72/43560,""),"—")</f>
        <v/>
      </c>
      <c r="AN72" s="14">
        <f>IFERROR(IF(AL72="","",IF(AL72&lt;2,"Residential (&lt;2ac)",IF(AL72&lt;10,"Small Rural (2-10ac)",IF(AL72&lt;40,"Rural (10-40ac)",IF(AL72&lt;100,"Farm/Estate (40-100ac)","Large Farm (100+ac)"))))),"—")</f>
        <v/>
      </c>
      <c r="AZ72" s="21" t="n"/>
      <c r="BF72" s="21" t="n"/>
      <c r="BG72" s="21" t="n"/>
      <c r="BH72" s="22">
        <f>IFERROR(IF(AND(BF72&lt;&gt;"",BG72&lt;&gt;""),AVERAGE(BF72,BG72),""),"—")</f>
        <v/>
      </c>
      <c r="BK72" s="21" t="n"/>
      <c r="BM72" s="21" t="n"/>
      <c r="BN72" s="28">
        <f>IFERROR(IF(AND(BK72&lt;&gt;"",BM72&lt;&gt;""),IF(BM72&lt;BK72,1,0),""),"")</f>
        <v/>
      </c>
      <c r="BP72" s="21" t="n"/>
      <c r="BS72" s="29">
        <f>IFERROR(IF(AND(BH72&lt;&gt;"",BK72&lt;&gt;""),(BH72-BK72)/BK72,""),"—")</f>
        <v/>
      </c>
      <c r="BT72" s="29">
        <f>IFERROR(IF(AND(BH72&lt;&gt;"",BP72&lt;&gt;""),(BH72-BP72)/BP72,""),"—")</f>
        <v/>
      </c>
      <c r="BU72" s="29">
        <f>IFERROR(IF(AND(BK72&lt;&gt;"",BP72&lt;&gt;""),(BP72-BK72)/BK72,""),"—")</f>
        <v/>
      </c>
    </row>
    <row r="73">
      <c r="AK73" s="14">
        <f>IFERROR(IF(AND(AG73&lt;&gt;"",AH73&lt;&gt;""),AG73*AH73,IF(AI73&lt;&gt;"",AI73,IF(AJ73&lt;&gt;"",AJ73*43560,""))),"ERROR")</f>
        <v/>
      </c>
      <c r="AL73" s="15">
        <f>IFERROR(IF(AK73&lt;&gt;"",AK73/43560,""),"—")</f>
        <v/>
      </c>
      <c r="AN73" s="14">
        <f>IFERROR(IF(AL73="","",IF(AL73&lt;2,"Residential (&lt;2ac)",IF(AL73&lt;10,"Small Rural (2-10ac)",IF(AL73&lt;40,"Rural (10-40ac)",IF(AL73&lt;100,"Farm/Estate (40-100ac)","Large Farm (100+ac)"))))),"—")</f>
        <v/>
      </c>
      <c r="AZ73" s="21" t="n"/>
      <c r="BF73" s="21" t="n"/>
      <c r="BG73" s="21" t="n"/>
      <c r="BH73" s="22">
        <f>IFERROR(IF(AND(BF73&lt;&gt;"",BG73&lt;&gt;""),AVERAGE(BF73,BG73),""),"—")</f>
        <v/>
      </c>
      <c r="BK73" s="21" t="n"/>
      <c r="BM73" s="21" t="n"/>
      <c r="BN73" s="28">
        <f>IFERROR(IF(AND(BK73&lt;&gt;"",BM73&lt;&gt;""),IF(BM73&lt;BK73,1,0),""),"")</f>
        <v/>
      </c>
      <c r="BP73" s="21" t="n"/>
      <c r="BS73" s="29">
        <f>IFERROR(IF(AND(BH73&lt;&gt;"",BK73&lt;&gt;""),(BH73-BK73)/BK73,""),"—")</f>
        <v/>
      </c>
      <c r="BT73" s="29">
        <f>IFERROR(IF(AND(BH73&lt;&gt;"",BP73&lt;&gt;""),(BH73-BP73)/BP73,""),"—")</f>
        <v/>
      </c>
      <c r="BU73" s="29">
        <f>IFERROR(IF(AND(BK73&lt;&gt;"",BP73&lt;&gt;""),(BP73-BK73)/BK73,""),"—")</f>
        <v/>
      </c>
    </row>
    <row r="74">
      <c r="AK74" s="14">
        <f>IFERROR(IF(AND(AG74&lt;&gt;"",AH74&lt;&gt;""),AG74*AH74,IF(AI74&lt;&gt;"",AI74,IF(AJ74&lt;&gt;"",AJ74*43560,""))),"ERROR")</f>
        <v/>
      </c>
      <c r="AL74" s="15">
        <f>IFERROR(IF(AK74&lt;&gt;"",AK74/43560,""),"—")</f>
        <v/>
      </c>
      <c r="AN74" s="14">
        <f>IFERROR(IF(AL74="","",IF(AL74&lt;2,"Residential (&lt;2ac)",IF(AL74&lt;10,"Small Rural (2-10ac)",IF(AL74&lt;40,"Rural (10-40ac)",IF(AL74&lt;100,"Farm/Estate (40-100ac)","Large Farm (100+ac)"))))),"—")</f>
        <v/>
      </c>
      <c r="AZ74" s="21" t="n"/>
      <c r="BF74" s="21" t="n"/>
      <c r="BG74" s="21" t="n"/>
      <c r="BH74" s="22">
        <f>IFERROR(IF(AND(BF74&lt;&gt;"",BG74&lt;&gt;""),AVERAGE(BF74,BG74),""),"—")</f>
        <v/>
      </c>
      <c r="BK74" s="21" t="n"/>
      <c r="BM74" s="21" t="n"/>
      <c r="BN74" s="28">
        <f>IFERROR(IF(AND(BK74&lt;&gt;"",BM74&lt;&gt;""),IF(BM74&lt;BK74,1,0),""),"")</f>
        <v/>
      </c>
      <c r="BP74" s="21" t="n"/>
      <c r="BS74" s="29">
        <f>IFERROR(IF(AND(BH74&lt;&gt;"",BK74&lt;&gt;""),(BH74-BK74)/BK74,""),"—")</f>
        <v/>
      </c>
      <c r="BT74" s="29">
        <f>IFERROR(IF(AND(BH74&lt;&gt;"",BP74&lt;&gt;""),(BH74-BP74)/BP74,""),"—")</f>
        <v/>
      </c>
      <c r="BU74" s="29">
        <f>IFERROR(IF(AND(BK74&lt;&gt;"",BP74&lt;&gt;""),(BP74-BK74)/BK74,""),"—")</f>
        <v/>
      </c>
    </row>
    <row r="75">
      <c r="AK75" s="14">
        <f>IFERROR(IF(AND(AG75&lt;&gt;"",AH75&lt;&gt;""),AG75*AH75,IF(AI75&lt;&gt;"",AI75,IF(AJ75&lt;&gt;"",AJ75*43560,""))),"ERROR")</f>
        <v/>
      </c>
      <c r="AL75" s="15">
        <f>IFERROR(IF(AK75&lt;&gt;"",AK75/43560,""),"—")</f>
        <v/>
      </c>
      <c r="AN75" s="14">
        <f>IFERROR(IF(AL75="","",IF(AL75&lt;2,"Residential (&lt;2ac)",IF(AL75&lt;10,"Small Rural (2-10ac)",IF(AL75&lt;40,"Rural (10-40ac)",IF(AL75&lt;100,"Farm/Estate (40-100ac)","Large Farm (100+ac)"))))),"—")</f>
        <v/>
      </c>
      <c r="AZ75" s="21" t="n"/>
      <c r="BF75" s="21" t="n"/>
      <c r="BG75" s="21" t="n"/>
      <c r="BH75" s="22">
        <f>IFERROR(IF(AND(BF75&lt;&gt;"",BG75&lt;&gt;""),AVERAGE(BF75,BG75),""),"—")</f>
        <v/>
      </c>
      <c r="BK75" s="21" t="n"/>
      <c r="BM75" s="21" t="n"/>
      <c r="BN75" s="28">
        <f>IFERROR(IF(AND(BK75&lt;&gt;"",BM75&lt;&gt;""),IF(BM75&lt;BK75,1,0),""),"")</f>
        <v/>
      </c>
      <c r="BP75" s="21" t="n"/>
      <c r="BS75" s="29">
        <f>IFERROR(IF(AND(BH75&lt;&gt;"",BK75&lt;&gt;""),(BH75-BK75)/BK75,""),"—")</f>
        <v/>
      </c>
      <c r="BT75" s="29">
        <f>IFERROR(IF(AND(BH75&lt;&gt;"",BP75&lt;&gt;""),(BH75-BP75)/BP75,""),"—")</f>
        <v/>
      </c>
      <c r="BU75" s="29">
        <f>IFERROR(IF(AND(BK75&lt;&gt;"",BP75&lt;&gt;""),(BP75-BK75)/BK75,""),"—")</f>
        <v/>
      </c>
    </row>
    <row r="76">
      <c r="AK76" s="14">
        <f>IFERROR(IF(AND(AG76&lt;&gt;"",AH76&lt;&gt;""),AG76*AH76,IF(AI76&lt;&gt;"",AI76,IF(AJ76&lt;&gt;"",AJ76*43560,""))),"ERROR")</f>
        <v/>
      </c>
      <c r="AL76" s="15">
        <f>IFERROR(IF(AK76&lt;&gt;"",AK76/43560,""),"—")</f>
        <v/>
      </c>
      <c r="AN76" s="14">
        <f>IFERROR(IF(AL76="","",IF(AL76&lt;2,"Residential (&lt;2ac)",IF(AL76&lt;10,"Small Rural (2-10ac)",IF(AL76&lt;40,"Rural (10-40ac)",IF(AL76&lt;100,"Farm/Estate (40-100ac)","Large Farm (100+ac)"))))),"—")</f>
        <v/>
      </c>
      <c r="AZ76" s="21" t="n"/>
      <c r="BF76" s="21" t="n"/>
      <c r="BG76" s="21" t="n"/>
      <c r="BH76" s="22">
        <f>IFERROR(IF(AND(BF76&lt;&gt;"",BG76&lt;&gt;""),AVERAGE(BF76,BG76),""),"—")</f>
        <v/>
      </c>
      <c r="BK76" s="21" t="n"/>
      <c r="BM76" s="21" t="n"/>
      <c r="BN76" s="28">
        <f>IFERROR(IF(AND(BK76&lt;&gt;"",BM76&lt;&gt;""),IF(BM76&lt;BK76,1,0),""),"")</f>
        <v/>
      </c>
      <c r="BP76" s="21" t="n"/>
      <c r="BS76" s="29">
        <f>IFERROR(IF(AND(BH76&lt;&gt;"",BK76&lt;&gt;""),(BH76-BK76)/BK76,""),"—")</f>
        <v/>
      </c>
      <c r="BT76" s="29">
        <f>IFERROR(IF(AND(BH76&lt;&gt;"",BP76&lt;&gt;""),(BH76-BP76)/BP76,""),"—")</f>
        <v/>
      </c>
      <c r="BU76" s="29">
        <f>IFERROR(IF(AND(BK76&lt;&gt;"",BP76&lt;&gt;""),(BP76-BK76)/BK76,""),"—")</f>
        <v/>
      </c>
    </row>
    <row r="77">
      <c r="AK77" s="14">
        <f>IFERROR(IF(AND(AG77&lt;&gt;"",AH77&lt;&gt;""),AG77*AH77,IF(AI77&lt;&gt;"",AI77,IF(AJ77&lt;&gt;"",AJ77*43560,""))),"ERROR")</f>
        <v/>
      </c>
      <c r="AL77" s="15">
        <f>IFERROR(IF(AK77&lt;&gt;"",AK77/43560,""),"—")</f>
        <v/>
      </c>
      <c r="AN77" s="14">
        <f>IFERROR(IF(AL77="","",IF(AL77&lt;2,"Residential (&lt;2ac)",IF(AL77&lt;10,"Small Rural (2-10ac)",IF(AL77&lt;40,"Rural (10-40ac)",IF(AL77&lt;100,"Farm/Estate (40-100ac)","Large Farm (100+ac)"))))),"—")</f>
        <v/>
      </c>
      <c r="AZ77" s="21" t="n"/>
      <c r="BF77" s="21" t="n"/>
      <c r="BG77" s="21" t="n"/>
      <c r="BH77" s="22">
        <f>IFERROR(IF(AND(BF77&lt;&gt;"",BG77&lt;&gt;""),AVERAGE(BF77,BG77),""),"—")</f>
        <v/>
      </c>
      <c r="BK77" s="21" t="n"/>
      <c r="BM77" s="21" t="n"/>
      <c r="BN77" s="28">
        <f>IFERROR(IF(AND(BK77&lt;&gt;"",BM77&lt;&gt;""),IF(BM77&lt;BK77,1,0),""),"")</f>
        <v/>
      </c>
      <c r="BP77" s="21" t="n"/>
      <c r="BS77" s="29">
        <f>IFERROR(IF(AND(BH77&lt;&gt;"",BK77&lt;&gt;""),(BH77-BK77)/BK77,""),"—")</f>
        <v/>
      </c>
      <c r="BT77" s="29">
        <f>IFERROR(IF(AND(BH77&lt;&gt;"",BP77&lt;&gt;""),(BH77-BP77)/BP77,""),"—")</f>
        <v/>
      </c>
      <c r="BU77" s="29">
        <f>IFERROR(IF(AND(BK77&lt;&gt;"",BP77&lt;&gt;""),(BP77-BK77)/BK77,""),"—")</f>
        <v/>
      </c>
    </row>
    <row r="78">
      <c r="AK78" s="14">
        <f>IFERROR(IF(AND(AG78&lt;&gt;"",AH78&lt;&gt;""),AG78*AH78,IF(AI78&lt;&gt;"",AI78,IF(AJ78&lt;&gt;"",AJ78*43560,""))),"ERROR")</f>
        <v/>
      </c>
      <c r="AL78" s="15">
        <f>IFERROR(IF(AK78&lt;&gt;"",AK78/43560,""),"—")</f>
        <v/>
      </c>
      <c r="AN78" s="14">
        <f>IFERROR(IF(AL78="","",IF(AL78&lt;2,"Residential (&lt;2ac)",IF(AL78&lt;10,"Small Rural (2-10ac)",IF(AL78&lt;40,"Rural (10-40ac)",IF(AL78&lt;100,"Farm/Estate (40-100ac)","Large Farm (100+ac)"))))),"—")</f>
        <v/>
      </c>
      <c r="AZ78" s="21" t="n"/>
      <c r="BF78" s="21" t="n"/>
      <c r="BG78" s="21" t="n"/>
      <c r="BH78" s="22">
        <f>IFERROR(IF(AND(BF78&lt;&gt;"",BG78&lt;&gt;""),AVERAGE(BF78,BG78),""),"—")</f>
        <v/>
      </c>
      <c r="BK78" s="21" t="n"/>
      <c r="BM78" s="21" t="n"/>
      <c r="BN78" s="28">
        <f>IFERROR(IF(AND(BK78&lt;&gt;"",BM78&lt;&gt;""),IF(BM78&lt;BK78,1,0),""),"")</f>
        <v/>
      </c>
      <c r="BP78" s="21" t="n"/>
      <c r="BS78" s="29">
        <f>IFERROR(IF(AND(BH78&lt;&gt;"",BK78&lt;&gt;""),(BH78-BK78)/BK78,""),"—")</f>
        <v/>
      </c>
      <c r="BT78" s="29">
        <f>IFERROR(IF(AND(BH78&lt;&gt;"",BP78&lt;&gt;""),(BH78-BP78)/BP78,""),"—")</f>
        <v/>
      </c>
      <c r="BU78" s="29">
        <f>IFERROR(IF(AND(BK78&lt;&gt;"",BP78&lt;&gt;""),(BP78-BK78)/BK78,""),"—")</f>
        <v/>
      </c>
    </row>
    <row r="79">
      <c r="AK79" s="14">
        <f>IFERROR(IF(AND(AG79&lt;&gt;"",AH79&lt;&gt;""),AG79*AH79,IF(AI79&lt;&gt;"",AI79,IF(AJ79&lt;&gt;"",AJ79*43560,""))),"ERROR")</f>
        <v/>
      </c>
      <c r="AL79" s="15">
        <f>IFERROR(IF(AK79&lt;&gt;"",AK79/43560,""),"—")</f>
        <v/>
      </c>
      <c r="AN79" s="14">
        <f>IFERROR(IF(AL79="","",IF(AL79&lt;2,"Residential (&lt;2ac)",IF(AL79&lt;10,"Small Rural (2-10ac)",IF(AL79&lt;40,"Rural (10-40ac)",IF(AL79&lt;100,"Farm/Estate (40-100ac)","Large Farm (100+ac)"))))),"—")</f>
        <v/>
      </c>
      <c r="AZ79" s="21" t="n"/>
      <c r="BF79" s="21" t="n"/>
      <c r="BG79" s="21" t="n"/>
      <c r="BH79" s="22">
        <f>IFERROR(IF(AND(BF79&lt;&gt;"",BG79&lt;&gt;""),AVERAGE(BF79,BG79),""),"—")</f>
        <v/>
      </c>
      <c r="BK79" s="21" t="n"/>
      <c r="BM79" s="21" t="n"/>
      <c r="BN79" s="28">
        <f>IFERROR(IF(AND(BK79&lt;&gt;"",BM79&lt;&gt;""),IF(BM79&lt;BK79,1,0),""),"")</f>
        <v/>
      </c>
      <c r="BP79" s="21" t="n"/>
      <c r="BS79" s="29">
        <f>IFERROR(IF(AND(BH79&lt;&gt;"",BK79&lt;&gt;""),(BH79-BK79)/BK79,""),"—")</f>
        <v/>
      </c>
      <c r="BT79" s="29">
        <f>IFERROR(IF(AND(BH79&lt;&gt;"",BP79&lt;&gt;""),(BH79-BP79)/BP79,""),"—")</f>
        <v/>
      </c>
      <c r="BU79" s="29">
        <f>IFERROR(IF(AND(BK79&lt;&gt;"",BP79&lt;&gt;""),(BP79-BK79)/BK79,""),"—")</f>
        <v/>
      </c>
    </row>
    <row r="80">
      <c r="AK80" s="14">
        <f>IFERROR(IF(AND(AG80&lt;&gt;"",AH80&lt;&gt;""),AG80*AH80,IF(AI80&lt;&gt;"",AI80,IF(AJ80&lt;&gt;"",AJ80*43560,""))),"ERROR")</f>
        <v/>
      </c>
      <c r="AL80" s="15">
        <f>IFERROR(IF(AK80&lt;&gt;"",AK80/43560,""),"—")</f>
        <v/>
      </c>
      <c r="AN80" s="14">
        <f>IFERROR(IF(AL80="","",IF(AL80&lt;2,"Residential (&lt;2ac)",IF(AL80&lt;10,"Small Rural (2-10ac)",IF(AL80&lt;40,"Rural (10-40ac)",IF(AL80&lt;100,"Farm/Estate (40-100ac)","Large Farm (100+ac)"))))),"—")</f>
        <v/>
      </c>
      <c r="AZ80" s="21" t="n"/>
      <c r="BF80" s="21" t="n"/>
      <c r="BG80" s="21" t="n"/>
      <c r="BH80" s="22">
        <f>IFERROR(IF(AND(BF80&lt;&gt;"",BG80&lt;&gt;""),AVERAGE(BF80,BG80),""),"—")</f>
        <v/>
      </c>
      <c r="BK80" s="21" t="n"/>
      <c r="BM80" s="21" t="n"/>
      <c r="BN80" s="28">
        <f>IFERROR(IF(AND(BK80&lt;&gt;"",BM80&lt;&gt;""),IF(BM80&lt;BK80,1,0),""),"")</f>
        <v/>
      </c>
      <c r="BP80" s="21" t="n"/>
      <c r="BS80" s="29">
        <f>IFERROR(IF(AND(BH80&lt;&gt;"",BK80&lt;&gt;""),(BH80-BK80)/BK80,""),"—")</f>
        <v/>
      </c>
      <c r="BT80" s="29">
        <f>IFERROR(IF(AND(BH80&lt;&gt;"",BP80&lt;&gt;""),(BH80-BP80)/BP80,""),"—")</f>
        <v/>
      </c>
      <c r="BU80" s="29">
        <f>IFERROR(IF(AND(BK80&lt;&gt;"",BP80&lt;&gt;""),(BP80-BK80)/BK80,""),"—")</f>
        <v/>
      </c>
    </row>
    <row r="81">
      <c r="AK81" s="14">
        <f>IFERROR(IF(AND(AG81&lt;&gt;"",AH81&lt;&gt;""),AG81*AH81,IF(AI81&lt;&gt;"",AI81,IF(AJ81&lt;&gt;"",AJ81*43560,""))),"ERROR")</f>
        <v/>
      </c>
      <c r="AL81" s="15">
        <f>IFERROR(IF(AK81&lt;&gt;"",AK81/43560,""),"—")</f>
        <v/>
      </c>
      <c r="AN81" s="14">
        <f>IFERROR(IF(AL81="","",IF(AL81&lt;2,"Residential (&lt;2ac)",IF(AL81&lt;10,"Small Rural (2-10ac)",IF(AL81&lt;40,"Rural (10-40ac)",IF(AL81&lt;100,"Farm/Estate (40-100ac)","Large Farm (100+ac)"))))),"—")</f>
        <v/>
      </c>
      <c r="AZ81" s="21" t="n"/>
      <c r="BF81" s="21" t="n"/>
      <c r="BG81" s="21" t="n"/>
      <c r="BH81" s="22">
        <f>IFERROR(IF(AND(BF81&lt;&gt;"",BG81&lt;&gt;""),AVERAGE(BF81,BG81),""),"—")</f>
        <v/>
      </c>
      <c r="BK81" s="21" t="n"/>
      <c r="BM81" s="21" t="n"/>
      <c r="BN81" s="28">
        <f>IFERROR(IF(AND(BK81&lt;&gt;"",BM81&lt;&gt;""),IF(BM81&lt;BK81,1,0),""),"")</f>
        <v/>
      </c>
      <c r="BP81" s="21" t="n"/>
      <c r="BS81" s="29">
        <f>IFERROR(IF(AND(BH81&lt;&gt;"",BK81&lt;&gt;""),(BH81-BK81)/BK81,""),"—")</f>
        <v/>
      </c>
      <c r="BT81" s="29">
        <f>IFERROR(IF(AND(BH81&lt;&gt;"",BP81&lt;&gt;""),(BH81-BP81)/BP81,""),"—")</f>
        <v/>
      </c>
      <c r="BU81" s="29">
        <f>IFERROR(IF(AND(BK81&lt;&gt;"",BP81&lt;&gt;""),(BP81-BK81)/BK81,""),"—")</f>
        <v/>
      </c>
    </row>
    <row r="82">
      <c r="AK82" s="14">
        <f>IFERROR(IF(AND(AG82&lt;&gt;"",AH82&lt;&gt;""),AG82*AH82,IF(AI82&lt;&gt;"",AI82,IF(AJ82&lt;&gt;"",AJ82*43560,""))),"ERROR")</f>
        <v/>
      </c>
      <c r="AL82" s="15">
        <f>IFERROR(IF(AK82&lt;&gt;"",AK82/43560,""),"—")</f>
        <v/>
      </c>
      <c r="AN82" s="14">
        <f>IFERROR(IF(AL82="","",IF(AL82&lt;2,"Residential (&lt;2ac)",IF(AL82&lt;10,"Small Rural (2-10ac)",IF(AL82&lt;40,"Rural (10-40ac)",IF(AL82&lt;100,"Farm/Estate (40-100ac)","Large Farm (100+ac)"))))),"—")</f>
        <v/>
      </c>
      <c r="AZ82" s="21" t="n"/>
      <c r="BF82" s="21" t="n"/>
      <c r="BG82" s="21" t="n"/>
      <c r="BH82" s="22">
        <f>IFERROR(IF(AND(BF82&lt;&gt;"",BG82&lt;&gt;""),AVERAGE(BF82,BG82),""),"—")</f>
        <v/>
      </c>
      <c r="BK82" s="21" t="n"/>
      <c r="BM82" s="21" t="n"/>
      <c r="BN82" s="28">
        <f>IFERROR(IF(AND(BK82&lt;&gt;"",BM82&lt;&gt;""),IF(BM82&lt;BK82,1,0),""),"")</f>
        <v/>
      </c>
      <c r="BP82" s="21" t="n"/>
      <c r="BS82" s="29">
        <f>IFERROR(IF(AND(BH82&lt;&gt;"",BK82&lt;&gt;""),(BH82-BK82)/BK82,""),"—")</f>
        <v/>
      </c>
      <c r="BT82" s="29">
        <f>IFERROR(IF(AND(BH82&lt;&gt;"",BP82&lt;&gt;""),(BH82-BP82)/BP82,""),"—")</f>
        <v/>
      </c>
      <c r="BU82" s="29">
        <f>IFERROR(IF(AND(BK82&lt;&gt;"",BP82&lt;&gt;""),(BP82-BK82)/BK82,""),"—")</f>
        <v/>
      </c>
    </row>
    <row r="83">
      <c r="AK83" s="14">
        <f>IFERROR(IF(AND(AG83&lt;&gt;"",AH83&lt;&gt;""),AG83*AH83,IF(AI83&lt;&gt;"",AI83,IF(AJ83&lt;&gt;"",AJ83*43560,""))),"ERROR")</f>
        <v/>
      </c>
      <c r="AL83" s="15">
        <f>IFERROR(IF(AK83&lt;&gt;"",AK83/43560,""),"—")</f>
        <v/>
      </c>
      <c r="AN83" s="14">
        <f>IFERROR(IF(AL83="","",IF(AL83&lt;2,"Residential (&lt;2ac)",IF(AL83&lt;10,"Small Rural (2-10ac)",IF(AL83&lt;40,"Rural (10-40ac)",IF(AL83&lt;100,"Farm/Estate (40-100ac)","Large Farm (100+ac)"))))),"—")</f>
        <v/>
      </c>
      <c r="AZ83" s="21" t="n"/>
      <c r="BF83" s="21" t="n"/>
      <c r="BG83" s="21" t="n"/>
      <c r="BH83" s="22">
        <f>IFERROR(IF(AND(BF83&lt;&gt;"",BG83&lt;&gt;""),AVERAGE(BF83,BG83),""),"—")</f>
        <v/>
      </c>
      <c r="BK83" s="21" t="n"/>
      <c r="BM83" s="21" t="n"/>
      <c r="BN83" s="28">
        <f>IFERROR(IF(AND(BK83&lt;&gt;"",BM83&lt;&gt;""),IF(BM83&lt;BK83,1,0),""),"")</f>
        <v/>
      </c>
      <c r="BP83" s="21" t="n"/>
      <c r="BS83" s="29">
        <f>IFERROR(IF(AND(BH83&lt;&gt;"",BK83&lt;&gt;""),(BH83-BK83)/BK83,""),"—")</f>
        <v/>
      </c>
      <c r="BT83" s="29">
        <f>IFERROR(IF(AND(BH83&lt;&gt;"",BP83&lt;&gt;""),(BH83-BP83)/BP83,""),"—")</f>
        <v/>
      </c>
      <c r="BU83" s="29">
        <f>IFERROR(IF(AND(BK83&lt;&gt;"",BP83&lt;&gt;""),(BP83-BK83)/BK83,""),"—")</f>
        <v/>
      </c>
    </row>
    <row r="84">
      <c r="AK84" s="14">
        <f>IFERROR(IF(AND(AG84&lt;&gt;"",AH84&lt;&gt;""),AG84*AH84,IF(AI84&lt;&gt;"",AI84,IF(AJ84&lt;&gt;"",AJ84*43560,""))),"ERROR")</f>
        <v/>
      </c>
      <c r="AL84" s="15">
        <f>IFERROR(IF(AK84&lt;&gt;"",AK84/43560,""),"—")</f>
        <v/>
      </c>
      <c r="AN84" s="14">
        <f>IFERROR(IF(AL84="","",IF(AL84&lt;2,"Residential (&lt;2ac)",IF(AL84&lt;10,"Small Rural (2-10ac)",IF(AL84&lt;40,"Rural (10-40ac)",IF(AL84&lt;100,"Farm/Estate (40-100ac)","Large Farm (100+ac)"))))),"—")</f>
        <v/>
      </c>
      <c r="AZ84" s="21" t="n"/>
      <c r="BF84" s="21" t="n"/>
      <c r="BG84" s="21" t="n"/>
      <c r="BH84" s="22">
        <f>IFERROR(IF(AND(BF84&lt;&gt;"",BG84&lt;&gt;""),AVERAGE(BF84,BG84),""),"—")</f>
        <v/>
      </c>
      <c r="BK84" s="21" t="n"/>
      <c r="BM84" s="21" t="n"/>
      <c r="BN84" s="28">
        <f>IFERROR(IF(AND(BK84&lt;&gt;"",BM84&lt;&gt;""),IF(BM84&lt;BK84,1,0),""),"")</f>
        <v/>
      </c>
      <c r="BP84" s="21" t="n"/>
      <c r="BS84" s="29">
        <f>IFERROR(IF(AND(BH84&lt;&gt;"",BK84&lt;&gt;""),(BH84-BK84)/BK84,""),"—")</f>
        <v/>
      </c>
      <c r="BT84" s="29">
        <f>IFERROR(IF(AND(BH84&lt;&gt;"",BP84&lt;&gt;""),(BH84-BP84)/BP84,""),"—")</f>
        <v/>
      </c>
      <c r="BU84" s="29">
        <f>IFERROR(IF(AND(BK84&lt;&gt;"",BP84&lt;&gt;""),(BP84-BK84)/BK84,""),"—")</f>
        <v/>
      </c>
    </row>
    <row r="85">
      <c r="AK85" s="14">
        <f>IFERROR(IF(AND(AG85&lt;&gt;"",AH85&lt;&gt;""),AG85*AH85,IF(AI85&lt;&gt;"",AI85,IF(AJ85&lt;&gt;"",AJ85*43560,""))),"ERROR")</f>
        <v/>
      </c>
      <c r="AL85" s="15">
        <f>IFERROR(IF(AK85&lt;&gt;"",AK85/43560,""),"—")</f>
        <v/>
      </c>
      <c r="AN85" s="14">
        <f>IFERROR(IF(AL85="","",IF(AL85&lt;2,"Residential (&lt;2ac)",IF(AL85&lt;10,"Small Rural (2-10ac)",IF(AL85&lt;40,"Rural (10-40ac)",IF(AL85&lt;100,"Farm/Estate (40-100ac)","Large Farm (100+ac)"))))),"—")</f>
        <v/>
      </c>
      <c r="AZ85" s="21" t="n"/>
      <c r="BF85" s="21" t="n"/>
      <c r="BG85" s="21" t="n"/>
      <c r="BH85" s="22">
        <f>IFERROR(IF(AND(BF85&lt;&gt;"",BG85&lt;&gt;""),AVERAGE(BF85,BG85),""),"—")</f>
        <v/>
      </c>
      <c r="BK85" s="21" t="n"/>
      <c r="BM85" s="21" t="n"/>
      <c r="BN85" s="28">
        <f>IFERROR(IF(AND(BK85&lt;&gt;"",BM85&lt;&gt;""),IF(BM85&lt;BK85,1,0),""),"")</f>
        <v/>
      </c>
      <c r="BP85" s="21" t="n"/>
      <c r="BS85" s="29">
        <f>IFERROR(IF(AND(BH85&lt;&gt;"",BK85&lt;&gt;""),(BH85-BK85)/BK85,""),"—")</f>
        <v/>
      </c>
      <c r="BT85" s="29">
        <f>IFERROR(IF(AND(BH85&lt;&gt;"",BP85&lt;&gt;""),(BH85-BP85)/BP85,""),"—")</f>
        <v/>
      </c>
      <c r="BU85" s="29">
        <f>IFERROR(IF(AND(BK85&lt;&gt;"",BP85&lt;&gt;""),(BP85-BK85)/BK85,""),"—")</f>
        <v/>
      </c>
    </row>
    <row r="86">
      <c r="AK86" s="14">
        <f>IFERROR(IF(AND(AG86&lt;&gt;"",AH86&lt;&gt;""),AG86*AH86,IF(AI86&lt;&gt;"",AI86,IF(AJ86&lt;&gt;"",AJ86*43560,""))),"ERROR")</f>
        <v/>
      </c>
      <c r="AL86" s="15">
        <f>IFERROR(IF(AK86&lt;&gt;"",AK86/43560,""),"—")</f>
        <v/>
      </c>
      <c r="AN86" s="14">
        <f>IFERROR(IF(AL86="","",IF(AL86&lt;2,"Residential (&lt;2ac)",IF(AL86&lt;10,"Small Rural (2-10ac)",IF(AL86&lt;40,"Rural (10-40ac)",IF(AL86&lt;100,"Farm/Estate (40-100ac)","Large Farm (100+ac)"))))),"—")</f>
        <v/>
      </c>
      <c r="AZ86" s="21" t="n"/>
      <c r="BF86" s="21" t="n"/>
      <c r="BG86" s="21" t="n"/>
      <c r="BH86" s="22">
        <f>IFERROR(IF(AND(BF86&lt;&gt;"",BG86&lt;&gt;""),AVERAGE(BF86,BG86),""),"—")</f>
        <v/>
      </c>
      <c r="BK86" s="21" t="n"/>
      <c r="BM86" s="21" t="n"/>
      <c r="BN86" s="28">
        <f>IFERROR(IF(AND(BK86&lt;&gt;"",BM86&lt;&gt;""),IF(BM86&lt;BK86,1,0),""),"")</f>
        <v/>
      </c>
      <c r="BP86" s="21" t="n"/>
      <c r="BS86" s="29">
        <f>IFERROR(IF(AND(BH86&lt;&gt;"",BK86&lt;&gt;""),(BH86-BK86)/BK86,""),"—")</f>
        <v/>
      </c>
      <c r="BT86" s="29">
        <f>IFERROR(IF(AND(BH86&lt;&gt;"",BP86&lt;&gt;""),(BH86-BP86)/BP86,""),"—")</f>
        <v/>
      </c>
      <c r="BU86" s="29">
        <f>IFERROR(IF(AND(BK86&lt;&gt;"",BP86&lt;&gt;""),(BP86-BK86)/BK86,""),"—")</f>
        <v/>
      </c>
    </row>
    <row r="87">
      <c r="AK87" s="14">
        <f>IFERROR(IF(AND(AG87&lt;&gt;"",AH87&lt;&gt;""),AG87*AH87,IF(AI87&lt;&gt;"",AI87,IF(AJ87&lt;&gt;"",AJ87*43560,""))),"ERROR")</f>
        <v/>
      </c>
      <c r="AL87" s="15">
        <f>IFERROR(IF(AK87&lt;&gt;"",AK87/43560,""),"—")</f>
        <v/>
      </c>
      <c r="AN87" s="14">
        <f>IFERROR(IF(AL87="","",IF(AL87&lt;2,"Residential (&lt;2ac)",IF(AL87&lt;10,"Small Rural (2-10ac)",IF(AL87&lt;40,"Rural (10-40ac)",IF(AL87&lt;100,"Farm/Estate (40-100ac)","Large Farm (100+ac)"))))),"—")</f>
        <v/>
      </c>
      <c r="AZ87" s="21" t="n"/>
      <c r="BF87" s="21" t="n"/>
      <c r="BG87" s="21" t="n"/>
      <c r="BH87" s="22">
        <f>IFERROR(IF(AND(BF87&lt;&gt;"",BG87&lt;&gt;""),AVERAGE(BF87,BG87),""),"—")</f>
        <v/>
      </c>
      <c r="BK87" s="21" t="n"/>
      <c r="BM87" s="21" t="n"/>
      <c r="BN87" s="28">
        <f>IFERROR(IF(AND(BK87&lt;&gt;"",BM87&lt;&gt;""),IF(BM87&lt;BK87,1,0),""),"")</f>
        <v/>
      </c>
      <c r="BP87" s="21" t="n"/>
      <c r="BS87" s="29">
        <f>IFERROR(IF(AND(BH87&lt;&gt;"",BK87&lt;&gt;""),(BH87-BK87)/BK87,""),"—")</f>
        <v/>
      </c>
      <c r="BT87" s="29">
        <f>IFERROR(IF(AND(BH87&lt;&gt;"",BP87&lt;&gt;""),(BH87-BP87)/BP87,""),"—")</f>
        <v/>
      </c>
      <c r="BU87" s="29">
        <f>IFERROR(IF(AND(BK87&lt;&gt;"",BP87&lt;&gt;""),(BP87-BK87)/BK87,""),"—")</f>
        <v/>
      </c>
    </row>
    <row r="88">
      <c r="AK88" s="14">
        <f>IFERROR(IF(AND(AG88&lt;&gt;"",AH88&lt;&gt;""),AG88*AH88,IF(AI88&lt;&gt;"",AI88,IF(AJ88&lt;&gt;"",AJ88*43560,""))),"ERROR")</f>
        <v/>
      </c>
      <c r="AL88" s="15">
        <f>IFERROR(IF(AK88&lt;&gt;"",AK88/43560,""),"—")</f>
        <v/>
      </c>
      <c r="AN88" s="14">
        <f>IFERROR(IF(AL88="","",IF(AL88&lt;2,"Residential (&lt;2ac)",IF(AL88&lt;10,"Small Rural (2-10ac)",IF(AL88&lt;40,"Rural (10-40ac)",IF(AL88&lt;100,"Farm/Estate (40-100ac)","Large Farm (100+ac)"))))),"—")</f>
        <v/>
      </c>
      <c r="AZ88" s="21" t="n"/>
      <c r="BF88" s="21" t="n"/>
      <c r="BG88" s="21" t="n"/>
      <c r="BH88" s="22">
        <f>IFERROR(IF(AND(BF88&lt;&gt;"",BG88&lt;&gt;""),AVERAGE(BF88,BG88),""),"—")</f>
        <v/>
      </c>
      <c r="BK88" s="21" t="n"/>
      <c r="BM88" s="21" t="n"/>
      <c r="BN88" s="28">
        <f>IFERROR(IF(AND(BK88&lt;&gt;"",BM88&lt;&gt;""),IF(BM88&lt;BK88,1,0),""),"")</f>
        <v/>
      </c>
      <c r="BP88" s="21" t="n"/>
      <c r="BS88" s="29">
        <f>IFERROR(IF(AND(BH88&lt;&gt;"",BK88&lt;&gt;""),(BH88-BK88)/BK88,""),"—")</f>
        <v/>
      </c>
      <c r="BT88" s="29">
        <f>IFERROR(IF(AND(BH88&lt;&gt;"",BP88&lt;&gt;""),(BH88-BP88)/BP88,""),"—")</f>
        <v/>
      </c>
      <c r="BU88" s="29">
        <f>IFERROR(IF(AND(BK88&lt;&gt;"",BP88&lt;&gt;""),(BP88-BK88)/BK88,""),"—")</f>
        <v/>
      </c>
    </row>
    <row r="89">
      <c r="AK89" s="14">
        <f>IFERROR(IF(AND(AG89&lt;&gt;"",AH89&lt;&gt;""),AG89*AH89,IF(AI89&lt;&gt;"",AI89,IF(AJ89&lt;&gt;"",AJ89*43560,""))),"ERROR")</f>
        <v/>
      </c>
      <c r="AL89" s="15">
        <f>IFERROR(IF(AK89&lt;&gt;"",AK89/43560,""),"—")</f>
        <v/>
      </c>
      <c r="AN89" s="14">
        <f>IFERROR(IF(AL89="","",IF(AL89&lt;2,"Residential (&lt;2ac)",IF(AL89&lt;10,"Small Rural (2-10ac)",IF(AL89&lt;40,"Rural (10-40ac)",IF(AL89&lt;100,"Farm/Estate (40-100ac)","Large Farm (100+ac)"))))),"—")</f>
        <v/>
      </c>
      <c r="AZ89" s="21" t="n"/>
      <c r="BF89" s="21" t="n"/>
      <c r="BG89" s="21" t="n"/>
      <c r="BH89" s="22">
        <f>IFERROR(IF(AND(BF89&lt;&gt;"",BG89&lt;&gt;""),AVERAGE(BF89,BG89),""),"—")</f>
        <v/>
      </c>
      <c r="BK89" s="21" t="n"/>
      <c r="BM89" s="21" t="n"/>
      <c r="BN89" s="28">
        <f>IFERROR(IF(AND(BK89&lt;&gt;"",BM89&lt;&gt;""),IF(BM89&lt;BK89,1,0),""),"")</f>
        <v/>
      </c>
      <c r="BP89" s="21" t="n"/>
      <c r="BS89" s="29">
        <f>IFERROR(IF(AND(BH89&lt;&gt;"",BK89&lt;&gt;""),(BH89-BK89)/BK89,""),"—")</f>
        <v/>
      </c>
      <c r="BT89" s="29">
        <f>IFERROR(IF(AND(BH89&lt;&gt;"",BP89&lt;&gt;""),(BH89-BP89)/BP89,""),"—")</f>
        <v/>
      </c>
      <c r="BU89" s="29">
        <f>IFERROR(IF(AND(BK89&lt;&gt;"",BP89&lt;&gt;""),(BP89-BK89)/BK89,""),"—")</f>
        <v/>
      </c>
    </row>
    <row r="90">
      <c r="AK90" s="14">
        <f>IFERROR(IF(AND(AG90&lt;&gt;"",AH90&lt;&gt;""),AG90*AH90,IF(AI90&lt;&gt;"",AI90,IF(AJ90&lt;&gt;"",AJ90*43560,""))),"ERROR")</f>
        <v/>
      </c>
      <c r="AL90" s="15">
        <f>IFERROR(IF(AK90&lt;&gt;"",AK90/43560,""),"—")</f>
        <v/>
      </c>
      <c r="AN90" s="14">
        <f>IFERROR(IF(AL90="","",IF(AL90&lt;2,"Residential (&lt;2ac)",IF(AL90&lt;10,"Small Rural (2-10ac)",IF(AL90&lt;40,"Rural (10-40ac)",IF(AL90&lt;100,"Farm/Estate (40-100ac)","Large Farm (100+ac)"))))),"—")</f>
        <v/>
      </c>
      <c r="AZ90" s="21" t="n"/>
      <c r="BF90" s="21" t="n"/>
      <c r="BG90" s="21" t="n"/>
      <c r="BH90" s="22">
        <f>IFERROR(IF(AND(BF90&lt;&gt;"",BG90&lt;&gt;""),AVERAGE(BF90,BG90),""),"—")</f>
        <v/>
      </c>
      <c r="BK90" s="21" t="n"/>
      <c r="BM90" s="21" t="n"/>
      <c r="BN90" s="28">
        <f>IFERROR(IF(AND(BK90&lt;&gt;"",BM90&lt;&gt;""),IF(BM90&lt;BK90,1,0),""),"")</f>
        <v/>
      </c>
      <c r="BP90" s="21" t="n"/>
      <c r="BS90" s="29">
        <f>IFERROR(IF(AND(BH90&lt;&gt;"",BK90&lt;&gt;""),(BH90-BK90)/BK90,""),"—")</f>
        <v/>
      </c>
      <c r="BT90" s="29">
        <f>IFERROR(IF(AND(BH90&lt;&gt;"",BP90&lt;&gt;""),(BH90-BP90)/BP90,""),"—")</f>
        <v/>
      </c>
      <c r="BU90" s="29">
        <f>IFERROR(IF(AND(BK90&lt;&gt;"",BP90&lt;&gt;""),(BP90-BK90)/BK90,""),"—")</f>
        <v/>
      </c>
    </row>
    <row r="91">
      <c r="AK91" s="14">
        <f>IFERROR(IF(AND(AG91&lt;&gt;"",AH91&lt;&gt;""),AG91*AH91,IF(AI91&lt;&gt;"",AI91,IF(AJ91&lt;&gt;"",AJ91*43560,""))),"ERROR")</f>
        <v/>
      </c>
      <c r="AL91" s="15">
        <f>IFERROR(IF(AK91&lt;&gt;"",AK91/43560,""),"—")</f>
        <v/>
      </c>
      <c r="AN91" s="14">
        <f>IFERROR(IF(AL91="","",IF(AL91&lt;2,"Residential (&lt;2ac)",IF(AL91&lt;10,"Small Rural (2-10ac)",IF(AL91&lt;40,"Rural (10-40ac)",IF(AL91&lt;100,"Farm/Estate (40-100ac)","Large Farm (100+ac)"))))),"—")</f>
        <v/>
      </c>
      <c r="AZ91" s="21" t="n"/>
      <c r="BF91" s="21" t="n"/>
      <c r="BG91" s="21" t="n"/>
      <c r="BH91" s="22">
        <f>IFERROR(IF(AND(BF91&lt;&gt;"",BG91&lt;&gt;""),AVERAGE(BF91,BG91),""),"—")</f>
        <v/>
      </c>
      <c r="BK91" s="21" t="n"/>
      <c r="BM91" s="21" t="n"/>
      <c r="BN91" s="28">
        <f>IFERROR(IF(AND(BK91&lt;&gt;"",BM91&lt;&gt;""),IF(BM91&lt;BK91,1,0),""),"")</f>
        <v/>
      </c>
      <c r="BP91" s="21" t="n"/>
      <c r="BS91" s="29">
        <f>IFERROR(IF(AND(BH91&lt;&gt;"",BK91&lt;&gt;""),(BH91-BK91)/BK91,""),"—")</f>
        <v/>
      </c>
      <c r="BT91" s="29">
        <f>IFERROR(IF(AND(BH91&lt;&gt;"",BP91&lt;&gt;""),(BH91-BP91)/BP91,""),"—")</f>
        <v/>
      </c>
      <c r="BU91" s="29">
        <f>IFERROR(IF(AND(BK91&lt;&gt;"",BP91&lt;&gt;""),(BP91-BK91)/BK91,""),"—")</f>
        <v/>
      </c>
    </row>
    <row r="92">
      <c r="AK92" s="14">
        <f>IFERROR(IF(AND(AG92&lt;&gt;"",AH92&lt;&gt;""),AG92*AH92,IF(AI92&lt;&gt;"",AI92,IF(AJ92&lt;&gt;"",AJ92*43560,""))),"ERROR")</f>
        <v/>
      </c>
      <c r="AL92" s="15">
        <f>IFERROR(IF(AK92&lt;&gt;"",AK92/43560,""),"—")</f>
        <v/>
      </c>
      <c r="AN92" s="14">
        <f>IFERROR(IF(AL92="","",IF(AL92&lt;2,"Residential (&lt;2ac)",IF(AL92&lt;10,"Small Rural (2-10ac)",IF(AL92&lt;40,"Rural (10-40ac)",IF(AL92&lt;100,"Farm/Estate (40-100ac)","Large Farm (100+ac)"))))),"—")</f>
        <v/>
      </c>
      <c r="AZ92" s="21" t="n"/>
      <c r="BF92" s="21" t="n"/>
      <c r="BG92" s="21" t="n"/>
      <c r="BH92" s="22">
        <f>IFERROR(IF(AND(BF92&lt;&gt;"",BG92&lt;&gt;""),AVERAGE(BF92,BG92),""),"—")</f>
        <v/>
      </c>
      <c r="BK92" s="21" t="n"/>
      <c r="BM92" s="21" t="n"/>
      <c r="BN92" s="28">
        <f>IFERROR(IF(AND(BK92&lt;&gt;"",BM92&lt;&gt;""),IF(BM92&lt;BK92,1,0),""),"")</f>
        <v/>
      </c>
      <c r="BP92" s="21" t="n"/>
      <c r="BS92" s="29">
        <f>IFERROR(IF(AND(BH92&lt;&gt;"",BK92&lt;&gt;""),(BH92-BK92)/BK92,""),"—")</f>
        <v/>
      </c>
      <c r="BT92" s="29">
        <f>IFERROR(IF(AND(BH92&lt;&gt;"",BP92&lt;&gt;""),(BH92-BP92)/BP92,""),"—")</f>
        <v/>
      </c>
      <c r="BU92" s="29">
        <f>IFERROR(IF(AND(BK92&lt;&gt;"",BP92&lt;&gt;""),(BP92-BK92)/BK92,""),"—")</f>
        <v/>
      </c>
    </row>
    <row r="93">
      <c r="AK93" s="14">
        <f>IFERROR(IF(AND(AG93&lt;&gt;"",AH93&lt;&gt;""),AG93*AH93,IF(AI93&lt;&gt;"",AI93,IF(AJ93&lt;&gt;"",AJ93*43560,""))),"ERROR")</f>
        <v/>
      </c>
      <c r="AL93" s="15">
        <f>IFERROR(IF(AK93&lt;&gt;"",AK93/43560,""),"—")</f>
        <v/>
      </c>
      <c r="AN93" s="14">
        <f>IFERROR(IF(AL93="","",IF(AL93&lt;2,"Residential (&lt;2ac)",IF(AL93&lt;10,"Small Rural (2-10ac)",IF(AL93&lt;40,"Rural (10-40ac)",IF(AL93&lt;100,"Farm/Estate (40-100ac)","Large Farm (100+ac)"))))),"—")</f>
        <v/>
      </c>
      <c r="AZ93" s="21" t="n"/>
      <c r="BF93" s="21" t="n"/>
      <c r="BG93" s="21" t="n"/>
      <c r="BH93" s="22">
        <f>IFERROR(IF(AND(BF93&lt;&gt;"",BG93&lt;&gt;""),AVERAGE(BF93,BG93),""),"—")</f>
        <v/>
      </c>
      <c r="BK93" s="21" t="n"/>
      <c r="BM93" s="21" t="n"/>
      <c r="BN93" s="28">
        <f>IFERROR(IF(AND(BK93&lt;&gt;"",BM93&lt;&gt;""),IF(BM93&lt;BK93,1,0),""),"")</f>
        <v/>
      </c>
      <c r="BP93" s="21" t="n"/>
      <c r="BS93" s="29">
        <f>IFERROR(IF(AND(BH93&lt;&gt;"",BK93&lt;&gt;""),(BH93-BK93)/BK93,""),"—")</f>
        <v/>
      </c>
      <c r="BT93" s="29">
        <f>IFERROR(IF(AND(BH93&lt;&gt;"",BP93&lt;&gt;""),(BH93-BP93)/BP93,""),"—")</f>
        <v/>
      </c>
      <c r="BU93" s="29">
        <f>IFERROR(IF(AND(BK93&lt;&gt;"",BP93&lt;&gt;""),(BP93-BK93)/BK93,""),"—")</f>
        <v/>
      </c>
    </row>
    <row r="94">
      <c r="AK94" s="14">
        <f>IFERROR(IF(AND(AG94&lt;&gt;"",AH94&lt;&gt;""),AG94*AH94,IF(AI94&lt;&gt;"",AI94,IF(AJ94&lt;&gt;"",AJ94*43560,""))),"ERROR")</f>
        <v/>
      </c>
      <c r="AL94" s="15">
        <f>IFERROR(IF(AK94&lt;&gt;"",AK94/43560,""),"—")</f>
        <v/>
      </c>
      <c r="AN94" s="14">
        <f>IFERROR(IF(AL94="","",IF(AL94&lt;2,"Residential (&lt;2ac)",IF(AL94&lt;10,"Small Rural (2-10ac)",IF(AL94&lt;40,"Rural (10-40ac)",IF(AL94&lt;100,"Farm/Estate (40-100ac)","Large Farm (100+ac)"))))),"—")</f>
        <v/>
      </c>
      <c r="AZ94" s="21" t="n"/>
      <c r="BF94" s="21" t="n"/>
      <c r="BG94" s="21" t="n"/>
      <c r="BH94" s="22">
        <f>IFERROR(IF(AND(BF94&lt;&gt;"",BG94&lt;&gt;""),AVERAGE(BF94,BG94),""),"—")</f>
        <v/>
      </c>
      <c r="BK94" s="21" t="n"/>
      <c r="BM94" s="21" t="n"/>
      <c r="BN94" s="28">
        <f>IFERROR(IF(AND(BK94&lt;&gt;"",BM94&lt;&gt;""),IF(BM94&lt;BK94,1,0),""),"")</f>
        <v/>
      </c>
      <c r="BP94" s="21" t="n"/>
      <c r="BS94" s="29">
        <f>IFERROR(IF(AND(BH94&lt;&gt;"",BK94&lt;&gt;""),(BH94-BK94)/BK94,""),"—")</f>
        <v/>
      </c>
      <c r="BT94" s="29">
        <f>IFERROR(IF(AND(BH94&lt;&gt;"",BP94&lt;&gt;""),(BH94-BP94)/BP94,""),"—")</f>
        <v/>
      </c>
      <c r="BU94" s="29">
        <f>IFERROR(IF(AND(BK94&lt;&gt;"",BP94&lt;&gt;""),(BP94-BK94)/BK94,""),"—")</f>
        <v/>
      </c>
    </row>
    <row r="95">
      <c r="AK95" s="14">
        <f>IFERROR(IF(AND(AG95&lt;&gt;"",AH95&lt;&gt;""),AG95*AH95,IF(AI95&lt;&gt;"",AI95,IF(AJ95&lt;&gt;"",AJ95*43560,""))),"ERROR")</f>
        <v/>
      </c>
      <c r="AL95" s="15">
        <f>IFERROR(IF(AK95&lt;&gt;"",AK95/43560,""),"—")</f>
        <v/>
      </c>
      <c r="AN95" s="14">
        <f>IFERROR(IF(AL95="","",IF(AL95&lt;2,"Residential (&lt;2ac)",IF(AL95&lt;10,"Small Rural (2-10ac)",IF(AL95&lt;40,"Rural (10-40ac)",IF(AL95&lt;100,"Farm/Estate (40-100ac)","Large Farm (100+ac)"))))),"—")</f>
        <v/>
      </c>
      <c r="AZ95" s="21" t="n"/>
      <c r="BF95" s="21" t="n"/>
      <c r="BG95" s="21" t="n"/>
      <c r="BH95" s="22">
        <f>IFERROR(IF(AND(BF95&lt;&gt;"",BG95&lt;&gt;""),AVERAGE(BF95,BG95),""),"—")</f>
        <v/>
      </c>
      <c r="BK95" s="21" t="n"/>
      <c r="BM95" s="21" t="n"/>
      <c r="BN95" s="28">
        <f>IFERROR(IF(AND(BK95&lt;&gt;"",BM95&lt;&gt;""),IF(BM95&lt;BK95,1,0),""),"")</f>
        <v/>
      </c>
      <c r="BP95" s="21" t="n"/>
      <c r="BS95" s="29">
        <f>IFERROR(IF(AND(BH95&lt;&gt;"",BK95&lt;&gt;""),(BH95-BK95)/BK95,""),"—")</f>
        <v/>
      </c>
      <c r="BT95" s="29">
        <f>IFERROR(IF(AND(BH95&lt;&gt;"",BP95&lt;&gt;""),(BH95-BP95)/BP95,""),"—")</f>
        <v/>
      </c>
      <c r="BU95" s="29">
        <f>IFERROR(IF(AND(BK95&lt;&gt;"",BP95&lt;&gt;""),(BP95-BK95)/BK95,""),"—")</f>
        <v/>
      </c>
    </row>
    <row r="96">
      <c r="AK96" s="14">
        <f>IFERROR(IF(AND(AG96&lt;&gt;"",AH96&lt;&gt;""),AG96*AH96,IF(AI96&lt;&gt;"",AI96,IF(AJ96&lt;&gt;"",AJ96*43560,""))),"ERROR")</f>
        <v/>
      </c>
      <c r="AL96" s="15">
        <f>IFERROR(IF(AK96&lt;&gt;"",AK96/43560,""),"—")</f>
        <v/>
      </c>
      <c r="AN96" s="14">
        <f>IFERROR(IF(AL96="","",IF(AL96&lt;2,"Residential (&lt;2ac)",IF(AL96&lt;10,"Small Rural (2-10ac)",IF(AL96&lt;40,"Rural (10-40ac)",IF(AL96&lt;100,"Farm/Estate (40-100ac)","Large Farm (100+ac)"))))),"—")</f>
        <v/>
      </c>
      <c r="AZ96" s="21" t="n"/>
      <c r="BF96" s="21" t="n"/>
      <c r="BG96" s="21" t="n"/>
      <c r="BH96" s="22">
        <f>IFERROR(IF(AND(BF96&lt;&gt;"",BG96&lt;&gt;""),AVERAGE(BF96,BG96),""),"—")</f>
        <v/>
      </c>
      <c r="BK96" s="21" t="n"/>
      <c r="BM96" s="21" t="n"/>
      <c r="BN96" s="28">
        <f>IFERROR(IF(AND(BK96&lt;&gt;"",BM96&lt;&gt;""),IF(BM96&lt;BK96,1,0),""),"")</f>
        <v/>
      </c>
      <c r="BP96" s="21" t="n"/>
      <c r="BS96" s="29">
        <f>IFERROR(IF(AND(BH96&lt;&gt;"",BK96&lt;&gt;""),(BH96-BK96)/BK96,""),"—")</f>
        <v/>
      </c>
      <c r="BT96" s="29">
        <f>IFERROR(IF(AND(BH96&lt;&gt;"",BP96&lt;&gt;""),(BH96-BP96)/BP96,""),"—")</f>
        <v/>
      </c>
      <c r="BU96" s="29">
        <f>IFERROR(IF(AND(BK96&lt;&gt;"",BP96&lt;&gt;""),(BP96-BK96)/BK96,""),"—")</f>
        <v/>
      </c>
    </row>
    <row r="97">
      <c r="AK97" s="14">
        <f>IFERROR(IF(AND(AG97&lt;&gt;"",AH97&lt;&gt;""),AG97*AH97,IF(AI97&lt;&gt;"",AI97,IF(AJ97&lt;&gt;"",AJ97*43560,""))),"ERROR")</f>
        <v/>
      </c>
      <c r="AL97" s="15">
        <f>IFERROR(IF(AK97&lt;&gt;"",AK97/43560,""),"—")</f>
        <v/>
      </c>
      <c r="AN97" s="14">
        <f>IFERROR(IF(AL97="","",IF(AL97&lt;2,"Residential (&lt;2ac)",IF(AL97&lt;10,"Small Rural (2-10ac)",IF(AL97&lt;40,"Rural (10-40ac)",IF(AL97&lt;100,"Farm/Estate (40-100ac)","Large Farm (100+ac)"))))),"—")</f>
        <v/>
      </c>
      <c r="AZ97" s="21" t="n"/>
      <c r="BF97" s="21" t="n"/>
      <c r="BG97" s="21" t="n"/>
      <c r="BH97" s="22">
        <f>IFERROR(IF(AND(BF97&lt;&gt;"",BG97&lt;&gt;""),AVERAGE(BF97,BG97),""),"—")</f>
        <v/>
      </c>
      <c r="BK97" s="21" t="n"/>
      <c r="BM97" s="21" t="n"/>
      <c r="BN97" s="28">
        <f>IFERROR(IF(AND(BK97&lt;&gt;"",BM97&lt;&gt;""),IF(BM97&lt;BK97,1,0),""),"")</f>
        <v/>
      </c>
      <c r="BP97" s="21" t="n"/>
      <c r="BS97" s="29">
        <f>IFERROR(IF(AND(BH97&lt;&gt;"",BK97&lt;&gt;""),(BH97-BK97)/BK97,""),"—")</f>
        <v/>
      </c>
      <c r="BT97" s="29">
        <f>IFERROR(IF(AND(BH97&lt;&gt;"",BP97&lt;&gt;""),(BH97-BP97)/BP97,""),"—")</f>
        <v/>
      </c>
      <c r="BU97" s="29">
        <f>IFERROR(IF(AND(BK97&lt;&gt;"",BP97&lt;&gt;""),(BP97-BK97)/BK97,""),"—")</f>
        <v/>
      </c>
    </row>
    <row r="98">
      <c r="AK98" s="14">
        <f>IFERROR(IF(AND(AG98&lt;&gt;"",AH98&lt;&gt;""),AG98*AH98,IF(AI98&lt;&gt;"",AI98,IF(AJ98&lt;&gt;"",AJ98*43560,""))),"ERROR")</f>
        <v/>
      </c>
      <c r="AL98" s="15">
        <f>IFERROR(IF(AK98&lt;&gt;"",AK98/43560,""),"—")</f>
        <v/>
      </c>
      <c r="AN98" s="14">
        <f>IFERROR(IF(AL98="","",IF(AL98&lt;2,"Residential (&lt;2ac)",IF(AL98&lt;10,"Small Rural (2-10ac)",IF(AL98&lt;40,"Rural (10-40ac)",IF(AL98&lt;100,"Farm/Estate (40-100ac)","Large Farm (100+ac)"))))),"—")</f>
        <v/>
      </c>
      <c r="AZ98" s="21" t="n"/>
      <c r="BF98" s="21" t="n"/>
      <c r="BG98" s="21" t="n"/>
      <c r="BH98" s="22">
        <f>IFERROR(IF(AND(BF98&lt;&gt;"",BG98&lt;&gt;""),AVERAGE(BF98,BG98),""),"—")</f>
        <v/>
      </c>
      <c r="BK98" s="21" t="n"/>
      <c r="BM98" s="21" t="n"/>
      <c r="BN98" s="28">
        <f>IFERROR(IF(AND(BK98&lt;&gt;"",BM98&lt;&gt;""),IF(BM98&lt;BK98,1,0),""),"")</f>
        <v/>
      </c>
      <c r="BP98" s="21" t="n"/>
      <c r="BS98" s="29">
        <f>IFERROR(IF(AND(BH98&lt;&gt;"",BK98&lt;&gt;""),(BH98-BK98)/BK98,""),"—")</f>
        <v/>
      </c>
      <c r="BT98" s="29">
        <f>IFERROR(IF(AND(BH98&lt;&gt;"",BP98&lt;&gt;""),(BH98-BP98)/BP98,""),"—")</f>
        <v/>
      </c>
      <c r="BU98" s="29">
        <f>IFERROR(IF(AND(BK98&lt;&gt;"",BP98&lt;&gt;""),(BP98-BK98)/BK98,""),"—")</f>
        <v/>
      </c>
    </row>
    <row r="99">
      <c r="AK99" s="14">
        <f>IFERROR(IF(AND(AG99&lt;&gt;"",AH99&lt;&gt;""),AG99*AH99,IF(AI99&lt;&gt;"",AI99,IF(AJ99&lt;&gt;"",AJ99*43560,""))),"ERROR")</f>
        <v/>
      </c>
      <c r="AL99" s="15">
        <f>IFERROR(IF(AK99&lt;&gt;"",AK99/43560,""),"—")</f>
        <v/>
      </c>
      <c r="AN99" s="14">
        <f>IFERROR(IF(AL99="","",IF(AL99&lt;2,"Residential (&lt;2ac)",IF(AL99&lt;10,"Small Rural (2-10ac)",IF(AL99&lt;40,"Rural (10-40ac)",IF(AL99&lt;100,"Farm/Estate (40-100ac)","Large Farm (100+ac)"))))),"—")</f>
        <v/>
      </c>
      <c r="AZ99" s="21" t="n"/>
      <c r="BF99" s="21" t="n"/>
      <c r="BG99" s="21" t="n"/>
      <c r="BH99" s="22">
        <f>IFERROR(IF(AND(BF99&lt;&gt;"",BG99&lt;&gt;""),AVERAGE(BF99,BG99),""),"—")</f>
        <v/>
      </c>
      <c r="BK99" s="21" t="n"/>
      <c r="BM99" s="21" t="n"/>
      <c r="BN99" s="28">
        <f>IFERROR(IF(AND(BK99&lt;&gt;"",BM99&lt;&gt;""),IF(BM99&lt;BK99,1,0),""),"")</f>
        <v/>
      </c>
      <c r="BP99" s="21" t="n"/>
      <c r="BS99" s="29">
        <f>IFERROR(IF(AND(BH99&lt;&gt;"",BK99&lt;&gt;""),(BH99-BK99)/BK99,""),"—")</f>
        <v/>
      </c>
      <c r="BT99" s="29">
        <f>IFERROR(IF(AND(BH99&lt;&gt;"",BP99&lt;&gt;""),(BH99-BP99)/BP99,""),"—")</f>
        <v/>
      </c>
      <c r="BU99" s="29">
        <f>IFERROR(IF(AND(BK99&lt;&gt;"",BP99&lt;&gt;""),(BP99-BK99)/BK99,""),"—")</f>
        <v/>
      </c>
    </row>
    <row r="100">
      <c r="AK100" s="14">
        <f>IFERROR(IF(AND(AG100&lt;&gt;"",AH100&lt;&gt;""),AG100*AH100,IF(AI100&lt;&gt;"",AI100,IF(AJ100&lt;&gt;"",AJ100*43560,""))),"ERROR")</f>
        <v/>
      </c>
      <c r="AL100" s="15">
        <f>IFERROR(IF(AK100&lt;&gt;"",AK100/43560,""),"—")</f>
        <v/>
      </c>
      <c r="AN100" s="14">
        <f>IFERROR(IF(AL100="","",IF(AL100&lt;2,"Residential (&lt;2ac)",IF(AL100&lt;10,"Small Rural (2-10ac)",IF(AL100&lt;40,"Rural (10-40ac)",IF(AL100&lt;100,"Farm/Estate (40-100ac)","Large Farm (100+ac)"))))),"—")</f>
        <v/>
      </c>
      <c r="AZ100" s="21" t="n"/>
      <c r="BF100" s="21" t="n"/>
      <c r="BG100" s="21" t="n"/>
      <c r="BH100" s="22">
        <f>IFERROR(IF(AND(BF100&lt;&gt;"",BG100&lt;&gt;""),AVERAGE(BF100,BG100),""),"—")</f>
        <v/>
      </c>
      <c r="BK100" s="21" t="n"/>
      <c r="BM100" s="21" t="n"/>
      <c r="BN100" s="28">
        <f>IFERROR(IF(AND(BK100&lt;&gt;"",BM100&lt;&gt;""),IF(BM100&lt;BK100,1,0),""),"")</f>
        <v/>
      </c>
      <c r="BP100" s="21" t="n"/>
      <c r="BS100" s="29">
        <f>IFERROR(IF(AND(BH100&lt;&gt;"",BK100&lt;&gt;""),(BH100-BK100)/BK100,""),"—")</f>
        <v/>
      </c>
      <c r="BT100" s="29">
        <f>IFERROR(IF(AND(BH100&lt;&gt;"",BP100&lt;&gt;""),(BH100-BP100)/BP100,""),"—")</f>
        <v/>
      </c>
      <c r="BU100" s="29">
        <f>IFERROR(IF(AND(BK100&lt;&gt;"",BP100&lt;&gt;""),(BP100-BK100)/BK100,""),"—")</f>
        <v/>
      </c>
    </row>
    <row r="101">
      <c r="AK101" s="14">
        <f>IFERROR(IF(AND(AG101&lt;&gt;"",AH101&lt;&gt;""),AG101*AH101,IF(AI101&lt;&gt;"",AI101,IF(AJ101&lt;&gt;"",AJ101*43560,""))),"ERROR")</f>
        <v/>
      </c>
      <c r="AL101" s="15">
        <f>IFERROR(IF(AK101&lt;&gt;"",AK101/43560,""),"—")</f>
        <v/>
      </c>
      <c r="AN101" s="14">
        <f>IFERROR(IF(AL101="","",IF(AL101&lt;2,"Residential (&lt;2ac)",IF(AL101&lt;10,"Small Rural (2-10ac)",IF(AL101&lt;40,"Rural (10-40ac)",IF(AL101&lt;100,"Farm/Estate (40-100ac)","Large Farm (100+ac)"))))),"—")</f>
        <v/>
      </c>
      <c r="AZ101" s="21" t="n"/>
      <c r="BF101" s="21" t="n"/>
      <c r="BG101" s="21" t="n"/>
      <c r="BH101" s="22">
        <f>IFERROR(IF(AND(BF101&lt;&gt;"",BG101&lt;&gt;""),AVERAGE(BF101,BG101),""),"—")</f>
        <v/>
      </c>
      <c r="BK101" s="21" t="n"/>
      <c r="BM101" s="21" t="n"/>
      <c r="BN101" s="28">
        <f>IFERROR(IF(AND(BK101&lt;&gt;"",BM101&lt;&gt;""),IF(BM101&lt;BK101,1,0),""),"")</f>
        <v/>
      </c>
      <c r="BP101" s="21" t="n"/>
      <c r="BS101" s="29">
        <f>IFERROR(IF(AND(BH101&lt;&gt;"",BK101&lt;&gt;""),(BH101-BK101)/BK101,""),"—")</f>
        <v/>
      </c>
      <c r="BT101" s="29">
        <f>IFERROR(IF(AND(BH101&lt;&gt;"",BP101&lt;&gt;""),(BH101-BP101)/BP101,""),"—")</f>
        <v/>
      </c>
      <c r="BU101" s="29">
        <f>IFERROR(IF(AND(BK101&lt;&gt;"",BP101&lt;&gt;""),(BP101-BK101)/BK101,""),"—")</f>
        <v/>
      </c>
    </row>
    <row r="102">
      <c r="AK102" s="14">
        <f>IFERROR(IF(AND(AG102&lt;&gt;"",AH102&lt;&gt;""),AG102*AH102,IF(AI102&lt;&gt;"",AI102,IF(AJ102&lt;&gt;"",AJ102*43560,""))),"ERROR")</f>
        <v/>
      </c>
      <c r="AL102" s="15">
        <f>IFERROR(IF(AK102&lt;&gt;"",AK102/43560,""),"—")</f>
        <v/>
      </c>
      <c r="AN102" s="14">
        <f>IFERROR(IF(AL102="","",IF(AL102&lt;2,"Residential (&lt;2ac)",IF(AL102&lt;10,"Small Rural (2-10ac)",IF(AL102&lt;40,"Rural (10-40ac)",IF(AL102&lt;100,"Farm/Estate (40-100ac)","Large Farm (100+ac)"))))),"—")</f>
        <v/>
      </c>
      <c r="AZ102" s="21" t="n"/>
      <c r="BF102" s="21" t="n"/>
      <c r="BG102" s="21" t="n"/>
      <c r="BH102" s="22">
        <f>IFERROR(IF(AND(BF102&lt;&gt;"",BG102&lt;&gt;""),AVERAGE(BF102,BG102),""),"—")</f>
        <v/>
      </c>
      <c r="BK102" s="21" t="n"/>
      <c r="BM102" s="21" t="n"/>
      <c r="BN102" s="28">
        <f>IFERROR(IF(AND(BK102&lt;&gt;"",BM102&lt;&gt;""),IF(BM102&lt;BK102,1,0),""),"")</f>
        <v/>
      </c>
      <c r="BP102" s="21" t="n"/>
      <c r="BS102" s="29">
        <f>IFERROR(IF(AND(BH102&lt;&gt;"",BK102&lt;&gt;""),(BH102-BK102)/BK102,""),"—")</f>
        <v/>
      </c>
      <c r="BT102" s="29">
        <f>IFERROR(IF(AND(BH102&lt;&gt;"",BP102&lt;&gt;""),(BH102-BP102)/BP102,""),"—")</f>
        <v/>
      </c>
      <c r="BU102" s="29">
        <f>IFERROR(IF(AND(BK102&lt;&gt;"",BP102&lt;&gt;""),(BP102-BK102)/BK102,""),"—")</f>
        <v/>
      </c>
    </row>
    <row r="103">
      <c r="AK103" s="14">
        <f>IFERROR(IF(AND(AG103&lt;&gt;"",AH103&lt;&gt;""),AG103*AH103,IF(AI103&lt;&gt;"",AI103,IF(AJ103&lt;&gt;"",AJ103*43560,""))),"ERROR")</f>
        <v/>
      </c>
      <c r="AL103" s="15">
        <f>IFERROR(IF(AK103&lt;&gt;"",AK103/43560,""),"—")</f>
        <v/>
      </c>
      <c r="AN103" s="14">
        <f>IFERROR(IF(AL103="","",IF(AL103&lt;2,"Residential (&lt;2ac)",IF(AL103&lt;10,"Small Rural (2-10ac)",IF(AL103&lt;40,"Rural (10-40ac)",IF(AL103&lt;100,"Farm/Estate (40-100ac)","Large Farm (100+ac)"))))),"—")</f>
        <v/>
      </c>
      <c r="AZ103" s="21" t="n"/>
      <c r="BF103" s="21" t="n"/>
      <c r="BG103" s="21" t="n"/>
      <c r="BH103" s="22">
        <f>IFERROR(IF(AND(BF103&lt;&gt;"",BG103&lt;&gt;""),AVERAGE(BF103,BG103),""),"—")</f>
        <v/>
      </c>
      <c r="BK103" s="21" t="n"/>
      <c r="BM103" s="21" t="n"/>
      <c r="BN103" s="28">
        <f>IFERROR(IF(AND(BK103&lt;&gt;"",BM103&lt;&gt;""),IF(BM103&lt;BK103,1,0),""),"")</f>
        <v/>
      </c>
      <c r="BP103" s="21" t="n"/>
      <c r="BS103" s="29">
        <f>IFERROR(IF(AND(BH103&lt;&gt;"",BK103&lt;&gt;""),(BH103-BK103)/BK103,""),"—")</f>
        <v/>
      </c>
      <c r="BT103" s="29">
        <f>IFERROR(IF(AND(BH103&lt;&gt;"",BP103&lt;&gt;""),(BH103-BP103)/BP103,""),"—")</f>
        <v/>
      </c>
      <c r="BU103" s="29">
        <f>IFERROR(IF(AND(BK103&lt;&gt;"",BP103&lt;&gt;""),(BP103-BK103)/BK103,""),"—")</f>
        <v/>
      </c>
    </row>
    <row r="104">
      <c r="AK104" s="14">
        <f>IFERROR(IF(AND(AG104&lt;&gt;"",AH104&lt;&gt;""),AG104*AH104,IF(AI104&lt;&gt;"",AI104,IF(AJ104&lt;&gt;"",AJ104*43560,""))),"ERROR")</f>
        <v/>
      </c>
      <c r="AL104" s="15">
        <f>IFERROR(IF(AK104&lt;&gt;"",AK104/43560,""),"—")</f>
        <v/>
      </c>
      <c r="AN104" s="14">
        <f>IFERROR(IF(AL104="","",IF(AL104&lt;2,"Residential (&lt;2ac)",IF(AL104&lt;10,"Small Rural (2-10ac)",IF(AL104&lt;40,"Rural (10-40ac)",IF(AL104&lt;100,"Farm/Estate (40-100ac)","Large Farm (100+ac)"))))),"—")</f>
        <v/>
      </c>
      <c r="AZ104" s="21" t="n"/>
      <c r="BF104" s="21" t="n"/>
      <c r="BG104" s="21" t="n"/>
      <c r="BH104" s="22">
        <f>IFERROR(IF(AND(BF104&lt;&gt;"",BG104&lt;&gt;""),AVERAGE(BF104,BG104),""),"—")</f>
        <v/>
      </c>
      <c r="BK104" s="21" t="n"/>
      <c r="BM104" s="21" t="n"/>
      <c r="BN104" s="28">
        <f>IFERROR(IF(AND(BK104&lt;&gt;"",BM104&lt;&gt;""),IF(BM104&lt;BK104,1,0),""),"")</f>
        <v/>
      </c>
      <c r="BP104" s="21" t="n"/>
      <c r="BS104" s="29">
        <f>IFERROR(IF(AND(BH104&lt;&gt;"",BK104&lt;&gt;""),(BH104-BK104)/BK104,""),"—")</f>
        <v/>
      </c>
      <c r="BT104" s="29">
        <f>IFERROR(IF(AND(BH104&lt;&gt;"",BP104&lt;&gt;""),(BH104-BP104)/BP104,""),"—")</f>
        <v/>
      </c>
      <c r="BU104" s="29">
        <f>IFERROR(IF(AND(BK104&lt;&gt;"",BP104&lt;&gt;""),(BP104-BK104)/BK104,""),"—")</f>
        <v/>
      </c>
    </row>
    <row r="105">
      <c r="AK105" s="14">
        <f>IFERROR(IF(AND(AG105&lt;&gt;"",AH105&lt;&gt;""),AG105*AH105,IF(AI105&lt;&gt;"",AI105,IF(AJ105&lt;&gt;"",AJ105*43560,""))),"ERROR")</f>
        <v/>
      </c>
      <c r="AL105" s="15">
        <f>IFERROR(IF(AK105&lt;&gt;"",AK105/43560,""),"—")</f>
        <v/>
      </c>
      <c r="AN105" s="14">
        <f>IFERROR(IF(AL105="","",IF(AL105&lt;2,"Residential (&lt;2ac)",IF(AL105&lt;10,"Small Rural (2-10ac)",IF(AL105&lt;40,"Rural (10-40ac)",IF(AL105&lt;100,"Farm/Estate (40-100ac)","Large Farm (100+ac)"))))),"—")</f>
        <v/>
      </c>
      <c r="AZ105" s="21" t="n"/>
      <c r="BF105" s="21" t="n"/>
      <c r="BG105" s="21" t="n"/>
      <c r="BH105" s="22">
        <f>IFERROR(IF(AND(BF105&lt;&gt;"",BG105&lt;&gt;""),AVERAGE(BF105,BG105),""),"—")</f>
        <v/>
      </c>
      <c r="BK105" s="21" t="n"/>
      <c r="BM105" s="21" t="n"/>
      <c r="BN105" s="28">
        <f>IFERROR(IF(AND(BK105&lt;&gt;"",BM105&lt;&gt;""),IF(BM105&lt;BK105,1,0),""),"")</f>
        <v/>
      </c>
      <c r="BP105" s="21" t="n"/>
      <c r="BS105" s="29">
        <f>IFERROR(IF(AND(BH105&lt;&gt;"",BK105&lt;&gt;""),(BH105-BK105)/BK105,""),"—")</f>
        <v/>
      </c>
      <c r="BT105" s="29">
        <f>IFERROR(IF(AND(BH105&lt;&gt;"",BP105&lt;&gt;""),(BH105-BP105)/BP105,""),"—")</f>
        <v/>
      </c>
      <c r="BU105" s="29">
        <f>IFERROR(IF(AND(BK105&lt;&gt;"",BP105&lt;&gt;""),(BP105-BK105)/BK105,""),"—")</f>
        <v/>
      </c>
    </row>
    <row r="106">
      <c r="AK106" s="14">
        <f>IFERROR(IF(AND(AG106&lt;&gt;"",AH106&lt;&gt;""),AG106*AH106,IF(AI106&lt;&gt;"",AI106,IF(AJ106&lt;&gt;"",AJ106*43560,""))),"ERROR")</f>
        <v/>
      </c>
      <c r="AL106" s="15">
        <f>IFERROR(IF(AK106&lt;&gt;"",AK106/43560,""),"—")</f>
        <v/>
      </c>
      <c r="AN106" s="14">
        <f>IFERROR(IF(AL106="","",IF(AL106&lt;2,"Residential (&lt;2ac)",IF(AL106&lt;10,"Small Rural (2-10ac)",IF(AL106&lt;40,"Rural (10-40ac)",IF(AL106&lt;100,"Farm/Estate (40-100ac)","Large Farm (100+ac)"))))),"—")</f>
        <v/>
      </c>
      <c r="AZ106" s="21" t="n"/>
      <c r="BF106" s="21" t="n"/>
      <c r="BG106" s="21" t="n"/>
      <c r="BH106" s="22">
        <f>IFERROR(IF(AND(BF106&lt;&gt;"",BG106&lt;&gt;""),AVERAGE(BF106,BG106),""),"—")</f>
        <v/>
      </c>
      <c r="BK106" s="21" t="n"/>
      <c r="BM106" s="21" t="n"/>
      <c r="BN106" s="28">
        <f>IFERROR(IF(AND(BK106&lt;&gt;"",BM106&lt;&gt;""),IF(BM106&lt;BK106,1,0),""),"")</f>
        <v/>
      </c>
      <c r="BP106" s="21" t="n"/>
      <c r="BS106" s="29">
        <f>IFERROR(IF(AND(BH106&lt;&gt;"",BK106&lt;&gt;""),(BH106-BK106)/BK106,""),"—")</f>
        <v/>
      </c>
      <c r="BT106" s="29">
        <f>IFERROR(IF(AND(BH106&lt;&gt;"",BP106&lt;&gt;""),(BH106-BP106)/BP106,""),"—")</f>
        <v/>
      </c>
      <c r="BU106" s="29">
        <f>IFERROR(IF(AND(BK106&lt;&gt;"",BP106&lt;&gt;""),(BP106-BK106)/BK106,""),"—")</f>
        <v/>
      </c>
    </row>
    <row r="107">
      <c r="AK107" s="14">
        <f>IFERROR(IF(AND(AG107&lt;&gt;"",AH107&lt;&gt;""),AG107*AH107,IF(AI107&lt;&gt;"",AI107,IF(AJ107&lt;&gt;"",AJ107*43560,""))),"ERROR")</f>
        <v/>
      </c>
      <c r="AL107" s="15">
        <f>IFERROR(IF(AK107&lt;&gt;"",AK107/43560,""),"—")</f>
        <v/>
      </c>
      <c r="AN107" s="14">
        <f>IFERROR(IF(AL107="","",IF(AL107&lt;2,"Residential (&lt;2ac)",IF(AL107&lt;10,"Small Rural (2-10ac)",IF(AL107&lt;40,"Rural (10-40ac)",IF(AL107&lt;100,"Farm/Estate (40-100ac)","Large Farm (100+ac)"))))),"—")</f>
        <v/>
      </c>
      <c r="AZ107" s="21" t="n"/>
      <c r="BF107" s="21" t="n"/>
      <c r="BG107" s="21" t="n"/>
      <c r="BH107" s="22">
        <f>IFERROR(IF(AND(BF107&lt;&gt;"",BG107&lt;&gt;""),AVERAGE(BF107,BG107),""),"—")</f>
        <v/>
      </c>
      <c r="BK107" s="21" t="n"/>
      <c r="BM107" s="21" t="n"/>
      <c r="BN107" s="28">
        <f>IFERROR(IF(AND(BK107&lt;&gt;"",BM107&lt;&gt;""),IF(BM107&lt;BK107,1,0),""),"")</f>
        <v/>
      </c>
      <c r="BP107" s="21" t="n"/>
      <c r="BS107" s="29">
        <f>IFERROR(IF(AND(BH107&lt;&gt;"",BK107&lt;&gt;""),(BH107-BK107)/BK107,""),"—")</f>
        <v/>
      </c>
      <c r="BT107" s="29">
        <f>IFERROR(IF(AND(BH107&lt;&gt;"",BP107&lt;&gt;""),(BH107-BP107)/BP107,""),"—")</f>
        <v/>
      </c>
      <c r="BU107" s="29">
        <f>IFERROR(IF(AND(BK107&lt;&gt;"",BP107&lt;&gt;""),(BP107-BK107)/BK107,""),"—")</f>
        <v/>
      </c>
    </row>
    <row r="108">
      <c r="AK108" s="14">
        <f>IFERROR(IF(AND(AG108&lt;&gt;"",AH108&lt;&gt;""),AG108*AH108,IF(AI108&lt;&gt;"",AI108,IF(AJ108&lt;&gt;"",AJ108*43560,""))),"ERROR")</f>
        <v/>
      </c>
      <c r="AL108" s="15">
        <f>IFERROR(IF(AK108&lt;&gt;"",AK108/43560,""),"—")</f>
        <v/>
      </c>
      <c r="AN108" s="14">
        <f>IFERROR(IF(AL108="","",IF(AL108&lt;2,"Residential (&lt;2ac)",IF(AL108&lt;10,"Small Rural (2-10ac)",IF(AL108&lt;40,"Rural (10-40ac)",IF(AL108&lt;100,"Farm/Estate (40-100ac)","Large Farm (100+ac)"))))),"—")</f>
        <v/>
      </c>
      <c r="AZ108" s="21" t="n"/>
      <c r="BF108" s="21" t="n"/>
      <c r="BG108" s="21" t="n"/>
      <c r="BH108" s="22">
        <f>IFERROR(IF(AND(BF108&lt;&gt;"",BG108&lt;&gt;""),AVERAGE(BF108,BG108),""),"—")</f>
        <v/>
      </c>
      <c r="BK108" s="21" t="n"/>
      <c r="BM108" s="21" t="n"/>
      <c r="BN108" s="28">
        <f>IFERROR(IF(AND(BK108&lt;&gt;"",BM108&lt;&gt;""),IF(BM108&lt;BK108,1,0),""),"")</f>
        <v/>
      </c>
      <c r="BP108" s="21" t="n"/>
      <c r="BS108" s="29">
        <f>IFERROR(IF(AND(BH108&lt;&gt;"",BK108&lt;&gt;""),(BH108-BK108)/BK108,""),"—")</f>
        <v/>
      </c>
      <c r="BT108" s="29">
        <f>IFERROR(IF(AND(BH108&lt;&gt;"",BP108&lt;&gt;""),(BH108-BP108)/BP108,""),"—")</f>
        <v/>
      </c>
      <c r="BU108" s="29">
        <f>IFERROR(IF(AND(BK108&lt;&gt;"",BP108&lt;&gt;""),(BP108-BK108)/BK108,""),"—")</f>
        <v/>
      </c>
    </row>
    <row r="109">
      <c r="AK109" s="14">
        <f>IFERROR(IF(AND(AG109&lt;&gt;"",AH109&lt;&gt;""),AG109*AH109,IF(AI109&lt;&gt;"",AI109,IF(AJ109&lt;&gt;"",AJ109*43560,""))),"ERROR")</f>
        <v/>
      </c>
      <c r="AL109" s="15">
        <f>IFERROR(IF(AK109&lt;&gt;"",AK109/43560,""),"—")</f>
        <v/>
      </c>
      <c r="AN109" s="14">
        <f>IFERROR(IF(AL109="","",IF(AL109&lt;2,"Residential (&lt;2ac)",IF(AL109&lt;10,"Small Rural (2-10ac)",IF(AL109&lt;40,"Rural (10-40ac)",IF(AL109&lt;100,"Farm/Estate (40-100ac)","Large Farm (100+ac)"))))),"—")</f>
        <v/>
      </c>
      <c r="AZ109" s="21" t="n"/>
      <c r="BF109" s="21" t="n"/>
      <c r="BG109" s="21" t="n"/>
      <c r="BH109" s="22">
        <f>IFERROR(IF(AND(BF109&lt;&gt;"",BG109&lt;&gt;""),AVERAGE(BF109,BG109),""),"—")</f>
        <v/>
      </c>
      <c r="BK109" s="21" t="n"/>
      <c r="BM109" s="21" t="n"/>
      <c r="BN109" s="28">
        <f>IFERROR(IF(AND(BK109&lt;&gt;"",BM109&lt;&gt;""),IF(BM109&lt;BK109,1,0),""),"")</f>
        <v/>
      </c>
      <c r="BP109" s="21" t="n"/>
      <c r="BS109" s="29">
        <f>IFERROR(IF(AND(BH109&lt;&gt;"",BK109&lt;&gt;""),(BH109-BK109)/BK109,""),"—")</f>
        <v/>
      </c>
      <c r="BT109" s="29">
        <f>IFERROR(IF(AND(BH109&lt;&gt;"",BP109&lt;&gt;""),(BH109-BP109)/BP109,""),"—")</f>
        <v/>
      </c>
      <c r="BU109" s="29">
        <f>IFERROR(IF(AND(BK109&lt;&gt;"",BP109&lt;&gt;""),(BP109-BK109)/BK109,""),"—")</f>
        <v/>
      </c>
    </row>
    <row r="110">
      <c r="AK110" s="14">
        <f>IFERROR(IF(AND(AG110&lt;&gt;"",AH110&lt;&gt;""),AG110*AH110,IF(AI110&lt;&gt;"",AI110,IF(AJ110&lt;&gt;"",AJ110*43560,""))),"ERROR")</f>
        <v/>
      </c>
      <c r="AL110" s="15">
        <f>IFERROR(IF(AK110&lt;&gt;"",AK110/43560,""),"—")</f>
        <v/>
      </c>
      <c r="AN110" s="14">
        <f>IFERROR(IF(AL110="","",IF(AL110&lt;2,"Residential (&lt;2ac)",IF(AL110&lt;10,"Small Rural (2-10ac)",IF(AL110&lt;40,"Rural (10-40ac)",IF(AL110&lt;100,"Farm/Estate (40-100ac)","Large Farm (100+ac)"))))),"—")</f>
        <v/>
      </c>
      <c r="AZ110" s="21" t="n"/>
      <c r="BF110" s="21" t="n"/>
      <c r="BG110" s="21" t="n"/>
      <c r="BH110" s="22">
        <f>IFERROR(IF(AND(BF110&lt;&gt;"",BG110&lt;&gt;""),AVERAGE(BF110,BG110),""),"—")</f>
        <v/>
      </c>
      <c r="BK110" s="21" t="n"/>
      <c r="BM110" s="21" t="n"/>
      <c r="BN110" s="28">
        <f>IFERROR(IF(AND(BK110&lt;&gt;"",BM110&lt;&gt;""),IF(BM110&lt;BK110,1,0),""),"")</f>
        <v/>
      </c>
      <c r="BP110" s="21" t="n"/>
      <c r="BS110" s="29">
        <f>IFERROR(IF(AND(BH110&lt;&gt;"",BK110&lt;&gt;""),(BH110-BK110)/BK110,""),"—")</f>
        <v/>
      </c>
      <c r="BT110" s="29">
        <f>IFERROR(IF(AND(BH110&lt;&gt;"",BP110&lt;&gt;""),(BH110-BP110)/BP110,""),"—")</f>
        <v/>
      </c>
      <c r="BU110" s="29">
        <f>IFERROR(IF(AND(BK110&lt;&gt;"",BP110&lt;&gt;""),(BP110-BK110)/BK110,""),"—")</f>
        <v/>
      </c>
    </row>
    <row r="111">
      <c r="AK111" s="14">
        <f>IFERROR(IF(AND(AG111&lt;&gt;"",AH111&lt;&gt;""),AG111*AH111,IF(AI111&lt;&gt;"",AI111,IF(AJ111&lt;&gt;"",AJ111*43560,""))),"ERROR")</f>
        <v/>
      </c>
      <c r="AL111" s="15">
        <f>IFERROR(IF(AK111&lt;&gt;"",AK111/43560,""),"—")</f>
        <v/>
      </c>
      <c r="AN111" s="14">
        <f>IFERROR(IF(AL111="","",IF(AL111&lt;2,"Residential (&lt;2ac)",IF(AL111&lt;10,"Small Rural (2-10ac)",IF(AL111&lt;40,"Rural (10-40ac)",IF(AL111&lt;100,"Farm/Estate (40-100ac)","Large Farm (100+ac)"))))),"—")</f>
        <v/>
      </c>
      <c r="AZ111" s="21" t="n"/>
      <c r="BF111" s="21" t="n"/>
      <c r="BG111" s="21" t="n"/>
      <c r="BH111" s="22">
        <f>IFERROR(IF(AND(BF111&lt;&gt;"",BG111&lt;&gt;""),AVERAGE(BF111,BG111),""),"—")</f>
        <v/>
      </c>
      <c r="BK111" s="21" t="n"/>
      <c r="BM111" s="21" t="n"/>
      <c r="BN111" s="28">
        <f>IFERROR(IF(AND(BK111&lt;&gt;"",BM111&lt;&gt;""),IF(BM111&lt;BK111,1,0),""),"")</f>
        <v/>
      </c>
      <c r="BP111" s="21" t="n"/>
      <c r="BS111" s="29">
        <f>IFERROR(IF(AND(BH111&lt;&gt;"",BK111&lt;&gt;""),(BH111-BK111)/BK111,""),"—")</f>
        <v/>
      </c>
      <c r="BT111" s="29">
        <f>IFERROR(IF(AND(BH111&lt;&gt;"",BP111&lt;&gt;""),(BH111-BP111)/BP111,""),"—")</f>
        <v/>
      </c>
      <c r="BU111" s="29">
        <f>IFERROR(IF(AND(BK111&lt;&gt;"",BP111&lt;&gt;""),(BP111-BK111)/BK111,""),"—")</f>
        <v/>
      </c>
    </row>
    <row r="112">
      <c r="AK112" s="14">
        <f>IFERROR(IF(AND(AG112&lt;&gt;"",AH112&lt;&gt;""),AG112*AH112,IF(AI112&lt;&gt;"",AI112,IF(AJ112&lt;&gt;"",AJ112*43560,""))),"ERROR")</f>
        <v/>
      </c>
      <c r="AL112" s="15">
        <f>IFERROR(IF(AK112&lt;&gt;"",AK112/43560,""),"—")</f>
        <v/>
      </c>
      <c r="AN112" s="14">
        <f>IFERROR(IF(AL112="","",IF(AL112&lt;2,"Residential (&lt;2ac)",IF(AL112&lt;10,"Small Rural (2-10ac)",IF(AL112&lt;40,"Rural (10-40ac)",IF(AL112&lt;100,"Farm/Estate (40-100ac)","Large Farm (100+ac)"))))),"—")</f>
        <v/>
      </c>
      <c r="AZ112" s="21" t="n"/>
      <c r="BF112" s="21" t="n"/>
      <c r="BG112" s="21" t="n"/>
      <c r="BH112" s="22">
        <f>IFERROR(IF(AND(BF112&lt;&gt;"",BG112&lt;&gt;""),AVERAGE(BF112,BG112),""),"—")</f>
        <v/>
      </c>
      <c r="BK112" s="21" t="n"/>
      <c r="BM112" s="21" t="n"/>
      <c r="BN112" s="28">
        <f>IFERROR(IF(AND(BK112&lt;&gt;"",BM112&lt;&gt;""),IF(BM112&lt;BK112,1,0),""),"")</f>
        <v/>
      </c>
      <c r="BP112" s="21" t="n"/>
      <c r="BS112" s="29">
        <f>IFERROR(IF(AND(BH112&lt;&gt;"",BK112&lt;&gt;""),(BH112-BK112)/BK112,""),"—")</f>
        <v/>
      </c>
      <c r="BT112" s="29">
        <f>IFERROR(IF(AND(BH112&lt;&gt;"",BP112&lt;&gt;""),(BH112-BP112)/BP112,""),"—")</f>
        <v/>
      </c>
      <c r="BU112" s="29">
        <f>IFERROR(IF(AND(BK112&lt;&gt;"",BP112&lt;&gt;""),(BP112-BK112)/BK112,""),"—")</f>
        <v/>
      </c>
    </row>
    <row r="113">
      <c r="AK113" s="14">
        <f>IFERROR(IF(AND(AG113&lt;&gt;"",AH113&lt;&gt;""),AG113*AH113,IF(AI113&lt;&gt;"",AI113,IF(AJ113&lt;&gt;"",AJ113*43560,""))),"ERROR")</f>
        <v/>
      </c>
      <c r="AL113" s="15">
        <f>IFERROR(IF(AK113&lt;&gt;"",AK113/43560,""),"—")</f>
        <v/>
      </c>
      <c r="AN113" s="14">
        <f>IFERROR(IF(AL113="","",IF(AL113&lt;2,"Residential (&lt;2ac)",IF(AL113&lt;10,"Small Rural (2-10ac)",IF(AL113&lt;40,"Rural (10-40ac)",IF(AL113&lt;100,"Farm/Estate (40-100ac)","Large Farm (100+ac)"))))),"—")</f>
        <v/>
      </c>
      <c r="AZ113" s="21" t="n"/>
      <c r="BF113" s="21" t="n"/>
      <c r="BG113" s="21" t="n"/>
      <c r="BH113" s="22">
        <f>IFERROR(IF(AND(BF113&lt;&gt;"",BG113&lt;&gt;""),AVERAGE(BF113,BG113),""),"—")</f>
        <v/>
      </c>
      <c r="BK113" s="21" t="n"/>
      <c r="BM113" s="21" t="n"/>
      <c r="BN113" s="28">
        <f>IFERROR(IF(AND(BK113&lt;&gt;"",BM113&lt;&gt;""),IF(BM113&lt;BK113,1,0),""),"")</f>
        <v/>
      </c>
      <c r="BP113" s="21" t="n"/>
      <c r="BS113" s="29">
        <f>IFERROR(IF(AND(BH113&lt;&gt;"",BK113&lt;&gt;""),(BH113-BK113)/BK113,""),"—")</f>
        <v/>
      </c>
      <c r="BT113" s="29">
        <f>IFERROR(IF(AND(BH113&lt;&gt;"",BP113&lt;&gt;""),(BH113-BP113)/BP113,""),"—")</f>
        <v/>
      </c>
      <c r="BU113" s="29">
        <f>IFERROR(IF(AND(BK113&lt;&gt;"",BP113&lt;&gt;""),(BP113-BK113)/BK113,""),"—")</f>
        <v/>
      </c>
    </row>
    <row r="114">
      <c r="AK114" s="14">
        <f>IFERROR(IF(AND(AG114&lt;&gt;"",AH114&lt;&gt;""),AG114*AH114,IF(AI114&lt;&gt;"",AI114,IF(AJ114&lt;&gt;"",AJ114*43560,""))),"ERROR")</f>
        <v/>
      </c>
      <c r="AL114" s="15">
        <f>IFERROR(IF(AK114&lt;&gt;"",AK114/43560,""),"—")</f>
        <v/>
      </c>
      <c r="AN114" s="14">
        <f>IFERROR(IF(AL114="","",IF(AL114&lt;2,"Residential (&lt;2ac)",IF(AL114&lt;10,"Small Rural (2-10ac)",IF(AL114&lt;40,"Rural (10-40ac)",IF(AL114&lt;100,"Farm/Estate (40-100ac)","Large Farm (100+ac)"))))),"—")</f>
        <v/>
      </c>
      <c r="AZ114" s="21" t="n"/>
      <c r="BF114" s="21" t="n"/>
      <c r="BG114" s="21" t="n"/>
      <c r="BH114" s="22">
        <f>IFERROR(IF(AND(BF114&lt;&gt;"",BG114&lt;&gt;""),AVERAGE(BF114,BG114),""),"—")</f>
        <v/>
      </c>
      <c r="BK114" s="21" t="n"/>
      <c r="BM114" s="21" t="n"/>
      <c r="BN114" s="28">
        <f>IFERROR(IF(AND(BK114&lt;&gt;"",BM114&lt;&gt;""),IF(BM114&lt;BK114,1,0),""),"")</f>
        <v/>
      </c>
      <c r="BP114" s="21" t="n"/>
      <c r="BS114" s="29">
        <f>IFERROR(IF(AND(BH114&lt;&gt;"",BK114&lt;&gt;""),(BH114-BK114)/BK114,""),"—")</f>
        <v/>
      </c>
      <c r="BT114" s="29">
        <f>IFERROR(IF(AND(BH114&lt;&gt;"",BP114&lt;&gt;""),(BH114-BP114)/BP114,""),"—")</f>
        <v/>
      </c>
      <c r="BU114" s="29">
        <f>IFERROR(IF(AND(BK114&lt;&gt;"",BP114&lt;&gt;""),(BP114-BK114)/BK114,""),"—")</f>
        <v/>
      </c>
    </row>
    <row r="115">
      <c r="AK115" s="14">
        <f>IFERROR(IF(AND(AG115&lt;&gt;"",AH115&lt;&gt;""),AG115*AH115,IF(AI115&lt;&gt;"",AI115,IF(AJ115&lt;&gt;"",AJ115*43560,""))),"ERROR")</f>
        <v/>
      </c>
      <c r="AL115" s="15">
        <f>IFERROR(IF(AK115&lt;&gt;"",AK115/43560,""),"—")</f>
        <v/>
      </c>
      <c r="AN115" s="14">
        <f>IFERROR(IF(AL115="","",IF(AL115&lt;2,"Residential (&lt;2ac)",IF(AL115&lt;10,"Small Rural (2-10ac)",IF(AL115&lt;40,"Rural (10-40ac)",IF(AL115&lt;100,"Farm/Estate (40-100ac)","Large Farm (100+ac)"))))),"—")</f>
        <v/>
      </c>
      <c r="AZ115" s="21" t="n"/>
      <c r="BF115" s="21" t="n"/>
      <c r="BG115" s="21" t="n"/>
      <c r="BH115" s="22">
        <f>IFERROR(IF(AND(BF115&lt;&gt;"",BG115&lt;&gt;""),AVERAGE(BF115,BG115),""),"—")</f>
        <v/>
      </c>
      <c r="BK115" s="21" t="n"/>
      <c r="BM115" s="21" t="n"/>
      <c r="BN115" s="28">
        <f>IFERROR(IF(AND(BK115&lt;&gt;"",BM115&lt;&gt;""),IF(BM115&lt;BK115,1,0),""),"")</f>
        <v/>
      </c>
      <c r="BP115" s="21" t="n"/>
      <c r="BS115" s="29">
        <f>IFERROR(IF(AND(BH115&lt;&gt;"",BK115&lt;&gt;""),(BH115-BK115)/BK115,""),"—")</f>
        <v/>
      </c>
      <c r="BT115" s="29">
        <f>IFERROR(IF(AND(BH115&lt;&gt;"",BP115&lt;&gt;""),(BH115-BP115)/BP115,""),"—")</f>
        <v/>
      </c>
      <c r="BU115" s="29">
        <f>IFERROR(IF(AND(BK115&lt;&gt;"",BP115&lt;&gt;""),(BP115-BK115)/BK115,""),"—")</f>
        <v/>
      </c>
    </row>
    <row r="116">
      <c r="AK116" s="14">
        <f>IFERROR(IF(AND(AG116&lt;&gt;"",AH116&lt;&gt;""),AG116*AH116,IF(AI116&lt;&gt;"",AI116,IF(AJ116&lt;&gt;"",AJ116*43560,""))),"ERROR")</f>
        <v/>
      </c>
      <c r="AL116" s="15">
        <f>IFERROR(IF(AK116&lt;&gt;"",AK116/43560,""),"—")</f>
        <v/>
      </c>
      <c r="AN116" s="14">
        <f>IFERROR(IF(AL116="","",IF(AL116&lt;2,"Residential (&lt;2ac)",IF(AL116&lt;10,"Small Rural (2-10ac)",IF(AL116&lt;40,"Rural (10-40ac)",IF(AL116&lt;100,"Farm/Estate (40-100ac)","Large Farm (100+ac)"))))),"—")</f>
        <v/>
      </c>
      <c r="AZ116" s="21" t="n"/>
      <c r="BF116" s="21" t="n"/>
      <c r="BG116" s="21" t="n"/>
      <c r="BH116" s="22">
        <f>IFERROR(IF(AND(BF116&lt;&gt;"",BG116&lt;&gt;""),AVERAGE(BF116,BG116),""),"—")</f>
        <v/>
      </c>
      <c r="BK116" s="21" t="n"/>
      <c r="BM116" s="21" t="n"/>
      <c r="BN116" s="28">
        <f>IFERROR(IF(AND(BK116&lt;&gt;"",BM116&lt;&gt;""),IF(BM116&lt;BK116,1,0),""),"")</f>
        <v/>
      </c>
      <c r="BP116" s="21" t="n"/>
      <c r="BS116" s="29">
        <f>IFERROR(IF(AND(BH116&lt;&gt;"",BK116&lt;&gt;""),(BH116-BK116)/BK116,""),"—")</f>
        <v/>
      </c>
      <c r="BT116" s="29">
        <f>IFERROR(IF(AND(BH116&lt;&gt;"",BP116&lt;&gt;""),(BH116-BP116)/BP116,""),"—")</f>
        <v/>
      </c>
      <c r="BU116" s="29">
        <f>IFERROR(IF(AND(BK116&lt;&gt;"",BP116&lt;&gt;""),(BP116-BK116)/BK116,""),"—")</f>
        <v/>
      </c>
    </row>
    <row r="117">
      <c r="AK117" s="14">
        <f>IFERROR(IF(AND(AG117&lt;&gt;"",AH117&lt;&gt;""),AG117*AH117,IF(AI117&lt;&gt;"",AI117,IF(AJ117&lt;&gt;"",AJ117*43560,""))),"ERROR")</f>
        <v/>
      </c>
      <c r="AL117" s="15">
        <f>IFERROR(IF(AK117&lt;&gt;"",AK117/43560,""),"—")</f>
        <v/>
      </c>
      <c r="AN117" s="14">
        <f>IFERROR(IF(AL117="","",IF(AL117&lt;2,"Residential (&lt;2ac)",IF(AL117&lt;10,"Small Rural (2-10ac)",IF(AL117&lt;40,"Rural (10-40ac)",IF(AL117&lt;100,"Farm/Estate (40-100ac)","Large Farm (100+ac)"))))),"—")</f>
        <v/>
      </c>
      <c r="AZ117" s="21" t="n"/>
      <c r="BF117" s="21" t="n"/>
      <c r="BG117" s="21" t="n"/>
      <c r="BH117" s="22">
        <f>IFERROR(IF(AND(BF117&lt;&gt;"",BG117&lt;&gt;""),AVERAGE(BF117,BG117),""),"—")</f>
        <v/>
      </c>
      <c r="BK117" s="21" t="n"/>
      <c r="BM117" s="21" t="n"/>
      <c r="BN117" s="28">
        <f>IFERROR(IF(AND(BK117&lt;&gt;"",BM117&lt;&gt;""),IF(BM117&lt;BK117,1,0),""),"")</f>
        <v/>
      </c>
      <c r="BP117" s="21" t="n"/>
      <c r="BS117" s="29">
        <f>IFERROR(IF(AND(BH117&lt;&gt;"",BK117&lt;&gt;""),(BH117-BK117)/BK117,""),"—")</f>
        <v/>
      </c>
      <c r="BT117" s="29">
        <f>IFERROR(IF(AND(BH117&lt;&gt;"",BP117&lt;&gt;""),(BH117-BP117)/BP117,""),"—")</f>
        <v/>
      </c>
      <c r="BU117" s="29">
        <f>IFERROR(IF(AND(BK117&lt;&gt;"",BP117&lt;&gt;""),(BP117-BK117)/BK117,""),"—")</f>
        <v/>
      </c>
    </row>
    <row r="118">
      <c r="AK118" s="14">
        <f>IFERROR(IF(AND(AG118&lt;&gt;"",AH118&lt;&gt;""),AG118*AH118,IF(AI118&lt;&gt;"",AI118,IF(AJ118&lt;&gt;"",AJ118*43560,""))),"ERROR")</f>
        <v/>
      </c>
      <c r="AL118" s="15">
        <f>IFERROR(IF(AK118&lt;&gt;"",AK118/43560,""),"—")</f>
        <v/>
      </c>
      <c r="AN118" s="14">
        <f>IFERROR(IF(AL118="","",IF(AL118&lt;2,"Residential (&lt;2ac)",IF(AL118&lt;10,"Small Rural (2-10ac)",IF(AL118&lt;40,"Rural (10-40ac)",IF(AL118&lt;100,"Farm/Estate (40-100ac)","Large Farm (100+ac)"))))),"—")</f>
        <v/>
      </c>
      <c r="AZ118" s="21" t="n"/>
      <c r="BF118" s="21" t="n"/>
      <c r="BG118" s="21" t="n"/>
      <c r="BH118" s="22">
        <f>IFERROR(IF(AND(BF118&lt;&gt;"",BG118&lt;&gt;""),AVERAGE(BF118,BG118),""),"—")</f>
        <v/>
      </c>
      <c r="BK118" s="21" t="n"/>
      <c r="BM118" s="21" t="n"/>
      <c r="BN118" s="28">
        <f>IFERROR(IF(AND(BK118&lt;&gt;"",BM118&lt;&gt;""),IF(BM118&lt;BK118,1,0),""),"")</f>
        <v/>
      </c>
      <c r="BP118" s="21" t="n"/>
      <c r="BS118" s="29">
        <f>IFERROR(IF(AND(BH118&lt;&gt;"",BK118&lt;&gt;""),(BH118-BK118)/BK118,""),"—")</f>
        <v/>
      </c>
      <c r="BT118" s="29">
        <f>IFERROR(IF(AND(BH118&lt;&gt;"",BP118&lt;&gt;""),(BH118-BP118)/BP118,""),"—")</f>
        <v/>
      </c>
      <c r="BU118" s="29">
        <f>IFERROR(IF(AND(BK118&lt;&gt;"",BP118&lt;&gt;""),(BP118-BK118)/BK118,""),"—")</f>
        <v/>
      </c>
    </row>
    <row r="119">
      <c r="AK119" s="14">
        <f>IFERROR(IF(AND(AG119&lt;&gt;"",AH119&lt;&gt;""),AG119*AH119,IF(AI119&lt;&gt;"",AI119,IF(AJ119&lt;&gt;"",AJ119*43560,""))),"ERROR")</f>
        <v/>
      </c>
      <c r="AL119" s="15">
        <f>IFERROR(IF(AK119&lt;&gt;"",AK119/43560,""),"—")</f>
        <v/>
      </c>
      <c r="AN119" s="14">
        <f>IFERROR(IF(AL119="","",IF(AL119&lt;2,"Residential (&lt;2ac)",IF(AL119&lt;10,"Small Rural (2-10ac)",IF(AL119&lt;40,"Rural (10-40ac)",IF(AL119&lt;100,"Farm/Estate (40-100ac)","Large Farm (100+ac)"))))),"—")</f>
        <v/>
      </c>
      <c r="AZ119" s="21" t="n"/>
      <c r="BF119" s="21" t="n"/>
      <c r="BG119" s="21" t="n"/>
      <c r="BH119" s="22">
        <f>IFERROR(IF(AND(BF119&lt;&gt;"",BG119&lt;&gt;""),AVERAGE(BF119,BG119),""),"—")</f>
        <v/>
      </c>
      <c r="BK119" s="21" t="n"/>
      <c r="BM119" s="21" t="n"/>
      <c r="BN119" s="28">
        <f>IFERROR(IF(AND(BK119&lt;&gt;"",BM119&lt;&gt;""),IF(BM119&lt;BK119,1,0),""),"")</f>
        <v/>
      </c>
      <c r="BP119" s="21" t="n"/>
      <c r="BS119" s="29">
        <f>IFERROR(IF(AND(BH119&lt;&gt;"",BK119&lt;&gt;""),(BH119-BK119)/BK119,""),"—")</f>
        <v/>
      </c>
      <c r="BT119" s="29">
        <f>IFERROR(IF(AND(BH119&lt;&gt;"",BP119&lt;&gt;""),(BH119-BP119)/BP119,""),"—")</f>
        <v/>
      </c>
      <c r="BU119" s="29">
        <f>IFERROR(IF(AND(BK119&lt;&gt;"",BP119&lt;&gt;""),(BP119-BK119)/BK119,""),"—")</f>
        <v/>
      </c>
    </row>
    <row r="120">
      <c r="AK120" s="14">
        <f>IFERROR(IF(AND(AG120&lt;&gt;"",AH120&lt;&gt;""),AG120*AH120,IF(AI120&lt;&gt;"",AI120,IF(AJ120&lt;&gt;"",AJ120*43560,""))),"ERROR")</f>
        <v/>
      </c>
      <c r="AL120" s="15">
        <f>IFERROR(IF(AK120&lt;&gt;"",AK120/43560,""),"—")</f>
        <v/>
      </c>
      <c r="AN120" s="14">
        <f>IFERROR(IF(AL120="","",IF(AL120&lt;2,"Residential (&lt;2ac)",IF(AL120&lt;10,"Small Rural (2-10ac)",IF(AL120&lt;40,"Rural (10-40ac)",IF(AL120&lt;100,"Farm/Estate (40-100ac)","Large Farm (100+ac)"))))),"—")</f>
        <v/>
      </c>
      <c r="AZ120" s="21" t="n"/>
      <c r="BF120" s="21" t="n"/>
      <c r="BG120" s="21" t="n"/>
      <c r="BH120" s="22">
        <f>IFERROR(IF(AND(BF120&lt;&gt;"",BG120&lt;&gt;""),AVERAGE(BF120,BG120),""),"—")</f>
        <v/>
      </c>
      <c r="BK120" s="21" t="n"/>
      <c r="BM120" s="21" t="n"/>
      <c r="BN120" s="28">
        <f>IFERROR(IF(AND(BK120&lt;&gt;"",BM120&lt;&gt;""),IF(BM120&lt;BK120,1,0),""),"")</f>
        <v/>
      </c>
      <c r="BP120" s="21" t="n"/>
      <c r="BS120" s="29">
        <f>IFERROR(IF(AND(BH120&lt;&gt;"",BK120&lt;&gt;""),(BH120-BK120)/BK120,""),"—")</f>
        <v/>
      </c>
      <c r="BT120" s="29">
        <f>IFERROR(IF(AND(BH120&lt;&gt;"",BP120&lt;&gt;""),(BH120-BP120)/BP120,""),"—")</f>
        <v/>
      </c>
      <c r="BU120" s="29">
        <f>IFERROR(IF(AND(BK120&lt;&gt;"",BP120&lt;&gt;""),(BP120-BK120)/BK120,""),"—")</f>
        <v/>
      </c>
    </row>
    <row r="121">
      <c r="AK121" s="14">
        <f>IFERROR(IF(AND(AG121&lt;&gt;"",AH121&lt;&gt;""),AG121*AH121,IF(AI121&lt;&gt;"",AI121,IF(AJ121&lt;&gt;"",AJ121*43560,""))),"ERROR")</f>
        <v/>
      </c>
      <c r="AL121" s="15">
        <f>IFERROR(IF(AK121&lt;&gt;"",AK121/43560,""),"—")</f>
        <v/>
      </c>
      <c r="AN121" s="14">
        <f>IFERROR(IF(AL121="","",IF(AL121&lt;2,"Residential (&lt;2ac)",IF(AL121&lt;10,"Small Rural (2-10ac)",IF(AL121&lt;40,"Rural (10-40ac)",IF(AL121&lt;100,"Farm/Estate (40-100ac)","Large Farm (100+ac)"))))),"—")</f>
        <v/>
      </c>
      <c r="AZ121" s="21" t="n"/>
      <c r="BF121" s="21" t="n"/>
      <c r="BG121" s="21" t="n"/>
      <c r="BH121" s="22">
        <f>IFERROR(IF(AND(BF121&lt;&gt;"",BG121&lt;&gt;""),AVERAGE(BF121,BG121),""),"—")</f>
        <v/>
      </c>
      <c r="BK121" s="21" t="n"/>
      <c r="BM121" s="21" t="n"/>
      <c r="BN121" s="28">
        <f>IFERROR(IF(AND(BK121&lt;&gt;"",BM121&lt;&gt;""),IF(BM121&lt;BK121,1,0),""),"")</f>
        <v/>
      </c>
      <c r="BP121" s="21" t="n"/>
      <c r="BS121" s="29">
        <f>IFERROR(IF(AND(BH121&lt;&gt;"",BK121&lt;&gt;""),(BH121-BK121)/BK121,""),"—")</f>
        <v/>
      </c>
      <c r="BT121" s="29">
        <f>IFERROR(IF(AND(BH121&lt;&gt;"",BP121&lt;&gt;""),(BH121-BP121)/BP121,""),"—")</f>
        <v/>
      </c>
      <c r="BU121" s="29">
        <f>IFERROR(IF(AND(BK121&lt;&gt;"",BP121&lt;&gt;""),(BP121-BK121)/BK121,""),"—")</f>
        <v/>
      </c>
    </row>
    <row r="122">
      <c r="AK122" s="14">
        <f>IFERROR(IF(AND(AG122&lt;&gt;"",AH122&lt;&gt;""),AG122*AH122,IF(AI122&lt;&gt;"",AI122,IF(AJ122&lt;&gt;"",AJ122*43560,""))),"ERROR")</f>
        <v/>
      </c>
      <c r="AL122" s="15">
        <f>IFERROR(IF(AK122&lt;&gt;"",AK122/43560,""),"—")</f>
        <v/>
      </c>
      <c r="AN122" s="14">
        <f>IFERROR(IF(AL122="","",IF(AL122&lt;2,"Residential (&lt;2ac)",IF(AL122&lt;10,"Small Rural (2-10ac)",IF(AL122&lt;40,"Rural (10-40ac)",IF(AL122&lt;100,"Farm/Estate (40-100ac)","Large Farm (100+ac)"))))),"—")</f>
        <v/>
      </c>
      <c r="AZ122" s="21" t="n"/>
      <c r="BF122" s="21" t="n"/>
      <c r="BG122" s="21" t="n"/>
      <c r="BH122" s="22">
        <f>IFERROR(IF(AND(BF122&lt;&gt;"",BG122&lt;&gt;""),AVERAGE(BF122,BG122),""),"—")</f>
        <v/>
      </c>
      <c r="BK122" s="21" t="n"/>
      <c r="BM122" s="21" t="n"/>
      <c r="BN122" s="28">
        <f>IFERROR(IF(AND(BK122&lt;&gt;"",BM122&lt;&gt;""),IF(BM122&lt;BK122,1,0),""),"")</f>
        <v/>
      </c>
      <c r="BP122" s="21" t="n"/>
      <c r="BS122" s="29">
        <f>IFERROR(IF(AND(BH122&lt;&gt;"",BK122&lt;&gt;""),(BH122-BK122)/BK122,""),"—")</f>
        <v/>
      </c>
      <c r="BT122" s="29">
        <f>IFERROR(IF(AND(BH122&lt;&gt;"",BP122&lt;&gt;""),(BH122-BP122)/BP122,""),"—")</f>
        <v/>
      </c>
      <c r="BU122" s="29">
        <f>IFERROR(IF(AND(BK122&lt;&gt;"",BP122&lt;&gt;""),(BP122-BK122)/BK122,""),"—")</f>
        <v/>
      </c>
    </row>
    <row r="123">
      <c r="AK123" s="14">
        <f>IFERROR(IF(AND(AG123&lt;&gt;"",AH123&lt;&gt;""),AG123*AH123,IF(AI123&lt;&gt;"",AI123,IF(AJ123&lt;&gt;"",AJ123*43560,""))),"ERROR")</f>
        <v/>
      </c>
      <c r="AL123" s="15">
        <f>IFERROR(IF(AK123&lt;&gt;"",AK123/43560,""),"—")</f>
        <v/>
      </c>
      <c r="AN123" s="14">
        <f>IFERROR(IF(AL123="","",IF(AL123&lt;2,"Residential (&lt;2ac)",IF(AL123&lt;10,"Small Rural (2-10ac)",IF(AL123&lt;40,"Rural (10-40ac)",IF(AL123&lt;100,"Farm/Estate (40-100ac)","Large Farm (100+ac)"))))),"—")</f>
        <v/>
      </c>
      <c r="AZ123" s="21" t="n"/>
      <c r="BF123" s="21" t="n"/>
      <c r="BG123" s="21" t="n"/>
      <c r="BH123" s="22">
        <f>IFERROR(IF(AND(BF123&lt;&gt;"",BG123&lt;&gt;""),AVERAGE(BF123,BG123),""),"—")</f>
        <v/>
      </c>
      <c r="BK123" s="21" t="n"/>
      <c r="BM123" s="21" t="n"/>
      <c r="BN123" s="28">
        <f>IFERROR(IF(AND(BK123&lt;&gt;"",BM123&lt;&gt;""),IF(BM123&lt;BK123,1,0),""),"")</f>
        <v/>
      </c>
      <c r="BP123" s="21" t="n"/>
      <c r="BS123" s="29">
        <f>IFERROR(IF(AND(BH123&lt;&gt;"",BK123&lt;&gt;""),(BH123-BK123)/BK123,""),"—")</f>
        <v/>
      </c>
      <c r="BT123" s="29">
        <f>IFERROR(IF(AND(BH123&lt;&gt;"",BP123&lt;&gt;""),(BH123-BP123)/BP123,""),"—")</f>
        <v/>
      </c>
      <c r="BU123" s="29">
        <f>IFERROR(IF(AND(BK123&lt;&gt;"",BP123&lt;&gt;""),(BP123-BK123)/BK123,""),"—")</f>
        <v/>
      </c>
    </row>
    <row r="124">
      <c r="AK124" s="14">
        <f>IFERROR(IF(AND(AG124&lt;&gt;"",AH124&lt;&gt;""),AG124*AH124,IF(AI124&lt;&gt;"",AI124,IF(AJ124&lt;&gt;"",AJ124*43560,""))),"ERROR")</f>
        <v/>
      </c>
      <c r="AL124" s="15">
        <f>IFERROR(IF(AK124&lt;&gt;"",AK124/43560,""),"—")</f>
        <v/>
      </c>
      <c r="AN124" s="14">
        <f>IFERROR(IF(AL124="","",IF(AL124&lt;2,"Residential (&lt;2ac)",IF(AL124&lt;10,"Small Rural (2-10ac)",IF(AL124&lt;40,"Rural (10-40ac)",IF(AL124&lt;100,"Farm/Estate (40-100ac)","Large Farm (100+ac)"))))),"—")</f>
        <v/>
      </c>
      <c r="AZ124" s="21" t="n"/>
      <c r="BF124" s="21" t="n"/>
      <c r="BG124" s="21" t="n"/>
      <c r="BH124" s="22">
        <f>IFERROR(IF(AND(BF124&lt;&gt;"",BG124&lt;&gt;""),AVERAGE(BF124,BG124),""),"—")</f>
        <v/>
      </c>
      <c r="BK124" s="21" t="n"/>
      <c r="BM124" s="21" t="n"/>
      <c r="BN124" s="28">
        <f>IFERROR(IF(AND(BK124&lt;&gt;"",BM124&lt;&gt;""),IF(BM124&lt;BK124,1,0),""),"")</f>
        <v/>
      </c>
      <c r="BP124" s="21" t="n"/>
      <c r="BS124" s="29">
        <f>IFERROR(IF(AND(BH124&lt;&gt;"",BK124&lt;&gt;""),(BH124-BK124)/BK124,""),"—")</f>
        <v/>
      </c>
      <c r="BT124" s="29">
        <f>IFERROR(IF(AND(BH124&lt;&gt;"",BP124&lt;&gt;""),(BH124-BP124)/BP124,""),"—")</f>
        <v/>
      </c>
      <c r="BU124" s="29">
        <f>IFERROR(IF(AND(BK124&lt;&gt;"",BP124&lt;&gt;""),(BP124-BK124)/BK124,""),"—")</f>
        <v/>
      </c>
    </row>
    <row r="125">
      <c r="AK125" s="14">
        <f>IFERROR(IF(AND(AG125&lt;&gt;"",AH125&lt;&gt;""),AG125*AH125,IF(AI125&lt;&gt;"",AI125,IF(AJ125&lt;&gt;"",AJ125*43560,""))),"ERROR")</f>
        <v/>
      </c>
      <c r="AL125" s="15">
        <f>IFERROR(IF(AK125&lt;&gt;"",AK125/43560,""),"—")</f>
        <v/>
      </c>
      <c r="AN125" s="14">
        <f>IFERROR(IF(AL125="","",IF(AL125&lt;2,"Residential (&lt;2ac)",IF(AL125&lt;10,"Small Rural (2-10ac)",IF(AL125&lt;40,"Rural (10-40ac)",IF(AL125&lt;100,"Farm/Estate (40-100ac)","Large Farm (100+ac)"))))),"—")</f>
        <v/>
      </c>
      <c r="AZ125" s="21" t="n"/>
      <c r="BF125" s="21" t="n"/>
      <c r="BG125" s="21" t="n"/>
      <c r="BH125" s="22">
        <f>IFERROR(IF(AND(BF125&lt;&gt;"",BG125&lt;&gt;""),AVERAGE(BF125,BG125),""),"—")</f>
        <v/>
      </c>
      <c r="BK125" s="21" t="n"/>
      <c r="BM125" s="21" t="n"/>
      <c r="BN125" s="28">
        <f>IFERROR(IF(AND(BK125&lt;&gt;"",BM125&lt;&gt;""),IF(BM125&lt;BK125,1,0),""),"")</f>
        <v/>
      </c>
      <c r="BP125" s="21" t="n"/>
      <c r="BS125" s="29">
        <f>IFERROR(IF(AND(BH125&lt;&gt;"",BK125&lt;&gt;""),(BH125-BK125)/BK125,""),"—")</f>
        <v/>
      </c>
      <c r="BT125" s="29">
        <f>IFERROR(IF(AND(BH125&lt;&gt;"",BP125&lt;&gt;""),(BH125-BP125)/BP125,""),"—")</f>
        <v/>
      </c>
      <c r="BU125" s="29">
        <f>IFERROR(IF(AND(BK125&lt;&gt;"",BP125&lt;&gt;""),(BP125-BK125)/BK125,""),"—")</f>
        <v/>
      </c>
    </row>
    <row r="126">
      <c r="AK126" s="14">
        <f>IFERROR(IF(AND(AG126&lt;&gt;"",AH126&lt;&gt;""),AG126*AH126,IF(AI126&lt;&gt;"",AI126,IF(AJ126&lt;&gt;"",AJ126*43560,""))),"ERROR")</f>
        <v/>
      </c>
      <c r="AL126" s="15">
        <f>IFERROR(IF(AK126&lt;&gt;"",AK126/43560,""),"—")</f>
        <v/>
      </c>
      <c r="AN126" s="14">
        <f>IFERROR(IF(AL126="","",IF(AL126&lt;2,"Residential (&lt;2ac)",IF(AL126&lt;10,"Small Rural (2-10ac)",IF(AL126&lt;40,"Rural (10-40ac)",IF(AL126&lt;100,"Farm/Estate (40-100ac)","Large Farm (100+ac)"))))),"—")</f>
        <v/>
      </c>
      <c r="AZ126" s="21" t="n"/>
      <c r="BF126" s="21" t="n"/>
      <c r="BG126" s="21" t="n"/>
      <c r="BH126" s="22">
        <f>IFERROR(IF(AND(BF126&lt;&gt;"",BG126&lt;&gt;""),AVERAGE(BF126,BG126),""),"—")</f>
        <v/>
      </c>
      <c r="BK126" s="21" t="n"/>
      <c r="BM126" s="21" t="n"/>
      <c r="BN126" s="28">
        <f>IFERROR(IF(AND(BK126&lt;&gt;"",BM126&lt;&gt;""),IF(BM126&lt;BK126,1,0),""),"")</f>
        <v/>
      </c>
      <c r="BP126" s="21" t="n"/>
      <c r="BS126" s="29">
        <f>IFERROR(IF(AND(BH126&lt;&gt;"",BK126&lt;&gt;""),(BH126-BK126)/BK126,""),"—")</f>
        <v/>
      </c>
      <c r="BT126" s="29">
        <f>IFERROR(IF(AND(BH126&lt;&gt;"",BP126&lt;&gt;""),(BH126-BP126)/BP126,""),"—")</f>
        <v/>
      </c>
      <c r="BU126" s="29">
        <f>IFERROR(IF(AND(BK126&lt;&gt;"",BP126&lt;&gt;""),(BP126-BK126)/BK126,""),"—")</f>
        <v/>
      </c>
    </row>
    <row r="127">
      <c r="AK127" s="14">
        <f>IFERROR(IF(AND(AG127&lt;&gt;"",AH127&lt;&gt;""),AG127*AH127,IF(AI127&lt;&gt;"",AI127,IF(AJ127&lt;&gt;"",AJ127*43560,""))),"ERROR")</f>
        <v/>
      </c>
      <c r="AL127" s="15">
        <f>IFERROR(IF(AK127&lt;&gt;"",AK127/43560,""),"—")</f>
        <v/>
      </c>
      <c r="AN127" s="14">
        <f>IFERROR(IF(AL127="","",IF(AL127&lt;2,"Residential (&lt;2ac)",IF(AL127&lt;10,"Small Rural (2-10ac)",IF(AL127&lt;40,"Rural (10-40ac)",IF(AL127&lt;100,"Farm/Estate (40-100ac)","Large Farm (100+ac)"))))),"—")</f>
        <v/>
      </c>
      <c r="AZ127" s="21" t="n"/>
      <c r="BF127" s="21" t="n"/>
      <c r="BG127" s="21" t="n"/>
      <c r="BH127" s="22">
        <f>IFERROR(IF(AND(BF127&lt;&gt;"",BG127&lt;&gt;""),AVERAGE(BF127,BG127),""),"—")</f>
        <v/>
      </c>
      <c r="BK127" s="21" t="n"/>
      <c r="BM127" s="21" t="n"/>
      <c r="BN127" s="28">
        <f>IFERROR(IF(AND(BK127&lt;&gt;"",BM127&lt;&gt;""),IF(BM127&lt;BK127,1,0),""),"")</f>
        <v/>
      </c>
      <c r="BP127" s="21" t="n"/>
      <c r="BS127" s="29">
        <f>IFERROR(IF(AND(BH127&lt;&gt;"",BK127&lt;&gt;""),(BH127-BK127)/BK127,""),"—")</f>
        <v/>
      </c>
      <c r="BT127" s="29">
        <f>IFERROR(IF(AND(BH127&lt;&gt;"",BP127&lt;&gt;""),(BH127-BP127)/BP127,""),"—")</f>
        <v/>
      </c>
      <c r="BU127" s="29">
        <f>IFERROR(IF(AND(BK127&lt;&gt;"",BP127&lt;&gt;""),(BP127-BK127)/BK127,""),"—")</f>
        <v/>
      </c>
    </row>
    <row r="128">
      <c r="AK128" s="14">
        <f>IFERROR(IF(AND(AG128&lt;&gt;"",AH128&lt;&gt;""),AG128*AH128,IF(AI128&lt;&gt;"",AI128,IF(AJ128&lt;&gt;"",AJ128*43560,""))),"ERROR")</f>
        <v/>
      </c>
      <c r="AL128" s="15">
        <f>IFERROR(IF(AK128&lt;&gt;"",AK128/43560,""),"—")</f>
        <v/>
      </c>
      <c r="AN128" s="14">
        <f>IFERROR(IF(AL128="","",IF(AL128&lt;2,"Residential (&lt;2ac)",IF(AL128&lt;10,"Small Rural (2-10ac)",IF(AL128&lt;40,"Rural (10-40ac)",IF(AL128&lt;100,"Farm/Estate (40-100ac)","Large Farm (100+ac)"))))),"—")</f>
        <v/>
      </c>
      <c r="AZ128" s="21" t="n"/>
      <c r="BF128" s="21" t="n"/>
      <c r="BG128" s="21" t="n"/>
      <c r="BH128" s="22">
        <f>IFERROR(IF(AND(BF128&lt;&gt;"",BG128&lt;&gt;""),AVERAGE(BF128,BG128),""),"—")</f>
        <v/>
      </c>
      <c r="BK128" s="21" t="n"/>
      <c r="BM128" s="21" t="n"/>
      <c r="BN128" s="28">
        <f>IFERROR(IF(AND(BK128&lt;&gt;"",BM128&lt;&gt;""),IF(BM128&lt;BK128,1,0),""),"")</f>
        <v/>
      </c>
      <c r="BP128" s="21" t="n"/>
      <c r="BS128" s="29">
        <f>IFERROR(IF(AND(BH128&lt;&gt;"",BK128&lt;&gt;""),(BH128-BK128)/BK128,""),"—")</f>
        <v/>
      </c>
      <c r="BT128" s="29">
        <f>IFERROR(IF(AND(BH128&lt;&gt;"",BP128&lt;&gt;""),(BH128-BP128)/BP128,""),"—")</f>
        <v/>
      </c>
      <c r="BU128" s="29">
        <f>IFERROR(IF(AND(BK128&lt;&gt;"",BP128&lt;&gt;""),(BP128-BK128)/BK128,""),"—")</f>
        <v/>
      </c>
    </row>
    <row r="129">
      <c r="AK129" s="14">
        <f>IFERROR(IF(AND(AG129&lt;&gt;"",AH129&lt;&gt;""),AG129*AH129,IF(AI129&lt;&gt;"",AI129,IF(AJ129&lt;&gt;"",AJ129*43560,""))),"ERROR")</f>
        <v/>
      </c>
      <c r="AL129" s="15">
        <f>IFERROR(IF(AK129&lt;&gt;"",AK129/43560,""),"—")</f>
        <v/>
      </c>
      <c r="AN129" s="14">
        <f>IFERROR(IF(AL129="","",IF(AL129&lt;2,"Residential (&lt;2ac)",IF(AL129&lt;10,"Small Rural (2-10ac)",IF(AL129&lt;40,"Rural (10-40ac)",IF(AL129&lt;100,"Farm/Estate (40-100ac)","Large Farm (100+ac)"))))),"—")</f>
        <v/>
      </c>
      <c r="AZ129" s="21" t="n"/>
      <c r="BF129" s="21" t="n"/>
      <c r="BG129" s="21" t="n"/>
      <c r="BH129" s="22">
        <f>IFERROR(IF(AND(BF129&lt;&gt;"",BG129&lt;&gt;""),AVERAGE(BF129,BG129),""),"—")</f>
        <v/>
      </c>
      <c r="BK129" s="21" t="n"/>
      <c r="BM129" s="21" t="n"/>
      <c r="BN129" s="28">
        <f>IFERROR(IF(AND(BK129&lt;&gt;"",BM129&lt;&gt;""),IF(BM129&lt;BK129,1,0),""),"")</f>
        <v/>
      </c>
      <c r="BP129" s="21" t="n"/>
      <c r="BS129" s="29">
        <f>IFERROR(IF(AND(BH129&lt;&gt;"",BK129&lt;&gt;""),(BH129-BK129)/BK129,""),"—")</f>
        <v/>
      </c>
      <c r="BT129" s="29">
        <f>IFERROR(IF(AND(BH129&lt;&gt;"",BP129&lt;&gt;""),(BH129-BP129)/BP129,""),"—")</f>
        <v/>
      </c>
      <c r="BU129" s="29">
        <f>IFERROR(IF(AND(BK129&lt;&gt;"",BP129&lt;&gt;""),(BP129-BK129)/BK129,""),"—")</f>
        <v/>
      </c>
    </row>
    <row r="130">
      <c r="AK130" s="14">
        <f>IFERROR(IF(AND(AG130&lt;&gt;"",AH130&lt;&gt;""),AG130*AH130,IF(AI130&lt;&gt;"",AI130,IF(AJ130&lt;&gt;"",AJ130*43560,""))),"ERROR")</f>
        <v/>
      </c>
      <c r="AL130" s="15">
        <f>IFERROR(IF(AK130&lt;&gt;"",AK130/43560,""),"—")</f>
        <v/>
      </c>
      <c r="AN130" s="14">
        <f>IFERROR(IF(AL130="","",IF(AL130&lt;2,"Residential (&lt;2ac)",IF(AL130&lt;10,"Small Rural (2-10ac)",IF(AL130&lt;40,"Rural (10-40ac)",IF(AL130&lt;100,"Farm/Estate (40-100ac)","Large Farm (100+ac)"))))),"—")</f>
        <v/>
      </c>
      <c r="AZ130" s="21" t="n"/>
      <c r="BF130" s="21" t="n"/>
      <c r="BG130" s="21" t="n"/>
      <c r="BH130" s="22">
        <f>IFERROR(IF(AND(BF130&lt;&gt;"",BG130&lt;&gt;""),AVERAGE(BF130,BG130),""),"—")</f>
        <v/>
      </c>
      <c r="BK130" s="21" t="n"/>
      <c r="BM130" s="21" t="n"/>
      <c r="BN130" s="28">
        <f>IFERROR(IF(AND(BK130&lt;&gt;"",BM130&lt;&gt;""),IF(BM130&lt;BK130,1,0),""),"")</f>
        <v/>
      </c>
      <c r="BP130" s="21" t="n"/>
      <c r="BS130" s="29">
        <f>IFERROR(IF(AND(BH130&lt;&gt;"",BK130&lt;&gt;""),(BH130-BK130)/BK130,""),"—")</f>
        <v/>
      </c>
      <c r="BT130" s="29">
        <f>IFERROR(IF(AND(BH130&lt;&gt;"",BP130&lt;&gt;""),(BH130-BP130)/BP130,""),"—")</f>
        <v/>
      </c>
      <c r="BU130" s="29">
        <f>IFERROR(IF(AND(BK130&lt;&gt;"",BP130&lt;&gt;""),(BP130-BK130)/BK130,""),"—")</f>
        <v/>
      </c>
    </row>
    <row r="131">
      <c r="AK131" s="14">
        <f>IFERROR(IF(AND(AG131&lt;&gt;"",AH131&lt;&gt;""),AG131*AH131,IF(AI131&lt;&gt;"",AI131,IF(AJ131&lt;&gt;"",AJ131*43560,""))),"ERROR")</f>
        <v/>
      </c>
      <c r="AL131" s="15">
        <f>IFERROR(IF(AK131&lt;&gt;"",AK131/43560,""),"—")</f>
        <v/>
      </c>
      <c r="AN131" s="14">
        <f>IFERROR(IF(AL131="","",IF(AL131&lt;2,"Residential (&lt;2ac)",IF(AL131&lt;10,"Small Rural (2-10ac)",IF(AL131&lt;40,"Rural (10-40ac)",IF(AL131&lt;100,"Farm/Estate (40-100ac)","Large Farm (100+ac)"))))),"—")</f>
        <v/>
      </c>
      <c r="AZ131" s="21" t="n"/>
      <c r="BF131" s="21" t="n"/>
      <c r="BG131" s="21" t="n"/>
      <c r="BH131" s="22">
        <f>IFERROR(IF(AND(BF131&lt;&gt;"",BG131&lt;&gt;""),AVERAGE(BF131,BG131),""),"—")</f>
        <v/>
      </c>
      <c r="BK131" s="21" t="n"/>
      <c r="BM131" s="21" t="n"/>
      <c r="BN131" s="28">
        <f>IFERROR(IF(AND(BK131&lt;&gt;"",BM131&lt;&gt;""),IF(BM131&lt;BK131,1,0),""),"")</f>
        <v/>
      </c>
      <c r="BP131" s="21" t="n"/>
      <c r="BS131" s="29">
        <f>IFERROR(IF(AND(BH131&lt;&gt;"",BK131&lt;&gt;""),(BH131-BK131)/BK131,""),"—")</f>
        <v/>
      </c>
      <c r="BT131" s="29">
        <f>IFERROR(IF(AND(BH131&lt;&gt;"",BP131&lt;&gt;""),(BH131-BP131)/BP131,""),"—")</f>
        <v/>
      </c>
      <c r="BU131" s="29">
        <f>IFERROR(IF(AND(BK131&lt;&gt;"",BP131&lt;&gt;""),(BP131-BK131)/BK131,""),"—")</f>
        <v/>
      </c>
    </row>
    <row r="132">
      <c r="AK132" s="14">
        <f>IFERROR(IF(AND(AG132&lt;&gt;"",AH132&lt;&gt;""),AG132*AH132,IF(AI132&lt;&gt;"",AI132,IF(AJ132&lt;&gt;"",AJ132*43560,""))),"ERROR")</f>
        <v/>
      </c>
      <c r="AL132" s="15">
        <f>IFERROR(IF(AK132&lt;&gt;"",AK132/43560,""),"—")</f>
        <v/>
      </c>
      <c r="AN132" s="14">
        <f>IFERROR(IF(AL132="","",IF(AL132&lt;2,"Residential (&lt;2ac)",IF(AL132&lt;10,"Small Rural (2-10ac)",IF(AL132&lt;40,"Rural (10-40ac)",IF(AL132&lt;100,"Farm/Estate (40-100ac)","Large Farm (100+ac)"))))),"—")</f>
        <v/>
      </c>
      <c r="AZ132" s="21" t="n"/>
      <c r="BF132" s="21" t="n"/>
      <c r="BG132" s="21" t="n"/>
      <c r="BH132" s="22">
        <f>IFERROR(IF(AND(BF132&lt;&gt;"",BG132&lt;&gt;""),AVERAGE(BF132,BG132),""),"—")</f>
        <v/>
      </c>
      <c r="BK132" s="21" t="n"/>
      <c r="BM132" s="21" t="n"/>
      <c r="BN132" s="28">
        <f>IFERROR(IF(AND(BK132&lt;&gt;"",BM132&lt;&gt;""),IF(BM132&lt;BK132,1,0),""),"")</f>
        <v/>
      </c>
      <c r="BP132" s="21" t="n"/>
      <c r="BS132" s="29">
        <f>IFERROR(IF(AND(BH132&lt;&gt;"",BK132&lt;&gt;""),(BH132-BK132)/BK132,""),"—")</f>
        <v/>
      </c>
      <c r="BT132" s="29">
        <f>IFERROR(IF(AND(BH132&lt;&gt;"",BP132&lt;&gt;""),(BH132-BP132)/BP132,""),"—")</f>
        <v/>
      </c>
      <c r="BU132" s="29">
        <f>IFERROR(IF(AND(BK132&lt;&gt;"",BP132&lt;&gt;""),(BP132-BK132)/BK132,""),"—")</f>
        <v/>
      </c>
    </row>
    <row r="133">
      <c r="AK133" s="14">
        <f>IFERROR(IF(AND(AG133&lt;&gt;"",AH133&lt;&gt;""),AG133*AH133,IF(AI133&lt;&gt;"",AI133,IF(AJ133&lt;&gt;"",AJ133*43560,""))),"ERROR")</f>
        <v/>
      </c>
      <c r="AL133" s="15">
        <f>IFERROR(IF(AK133&lt;&gt;"",AK133/43560,""),"—")</f>
        <v/>
      </c>
      <c r="AN133" s="14">
        <f>IFERROR(IF(AL133="","",IF(AL133&lt;2,"Residential (&lt;2ac)",IF(AL133&lt;10,"Small Rural (2-10ac)",IF(AL133&lt;40,"Rural (10-40ac)",IF(AL133&lt;100,"Farm/Estate (40-100ac)","Large Farm (100+ac)"))))),"—")</f>
        <v/>
      </c>
      <c r="AZ133" s="21" t="n"/>
      <c r="BF133" s="21" t="n"/>
      <c r="BG133" s="21" t="n"/>
      <c r="BH133" s="22">
        <f>IFERROR(IF(AND(BF133&lt;&gt;"",BG133&lt;&gt;""),AVERAGE(BF133,BG133),""),"—")</f>
        <v/>
      </c>
      <c r="BK133" s="21" t="n"/>
      <c r="BM133" s="21" t="n"/>
      <c r="BN133" s="28">
        <f>IFERROR(IF(AND(BK133&lt;&gt;"",BM133&lt;&gt;""),IF(BM133&lt;BK133,1,0),""),"")</f>
        <v/>
      </c>
      <c r="BP133" s="21" t="n"/>
      <c r="BS133" s="29">
        <f>IFERROR(IF(AND(BH133&lt;&gt;"",BK133&lt;&gt;""),(BH133-BK133)/BK133,""),"—")</f>
        <v/>
      </c>
      <c r="BT133" s="29">
        <f>IFERROR(IF(AND(BH133&lt;&gt;"",BP133&lt;&gt;""),(BH133-BP133)/BP133,""),"—")</f>
        <v/>
      </c>
      <c r="BU133" s="29">
        <f>IFERROR(IF(AND(BK133&lt;&gt;"",BP133&lt;&gt;""),(BP133-BK133)/BK133,""),"—")</f>
        <v/>
      </c>
    </row>
    <row r="134">
      <c r="AK134" s="14">
        <f>IFERROR(IF(AND(AG134&lt;&gt;"",AH134&lt;&gt;""),AG134*AH134,IF(AI134&lt;&gt;"",AI134,IF(AJ134&lt;&gt;"",AJ134*43560,""))),"ERROR")</f>
        <v/>
      </c>
      <c r="AL134" s="15">
        <f>IFERROR(IF(AK134&lt;&gt;"",AK134/43560,""),"—")</f>
        <v/>
      </c>
      <c r="AN134" s="14">
        <f>IFERROR(IF(AL134="","",IF(AL134&lt;2,"Residential (&lt;2ac)",IF(AL134&lt;10,"Small Rural (2-10ac)",IF(AL134&lt;40,"Rural (10-40ac)",IF(AL134&lt;100,"Farm/Estate (40-100ac)","Large Farm (100+ac)"))))),"—")</f>
        <v/>
      </c>
      <c r="AZ134" s="21" t="n"/>
      <c r="BF134" s="21" t="n"/>
      <c r="BG134" s="21" t="n"/>
      <c r="BH134" s="22">
        <f>IFERROR(IF(AND(BF134&lt;&gt;"",BG134&lt;&gt;""),AVERAGE(BF134,BG134),""),"—")</f>
        <v/>
      </c>
      <c r="BK134" s="21" t="n"/>
      <c r="BM134" s="21" t="n"/>
      <c r="BN134" s="28">
        <f>IFERROR(IF(AND(BK134&lt;&gt;"",BM134&lt;&gt;""),IF(BM134&lt;BK134,1,0),""),"")</f>
        <v/>
      </c>
      <c r="BP134" s="21" t="n"/>
      <c r="BS134" s="29">
        <f>IFERROR(IF(AND(BH134&lt;&gt;"",BK134&lt;&gt;""),(BH134-BK134)/BK134,""),"—")</f>
        <v/>
      </c>
      <c r="BT134" s="29">
        <f>IFERROR(IF(AND(BH134&lt;&gt;"",BP134&lt;&gt;""),(BH134-BP134)/BP134,""),"—")</f>
        <v/>
      </c>
      <c r="BU134" s="29">
        <f>IFERROR(IF(AND(BK134&lt;&gt;"",BP134&lt;&gt;""),(BP134-BK134)/BK134,""),"—")</f>
        <v/>
      </c>
    </row>
    <row r="135">
      <c r="AK135" s="14">
        <f>IFERROR(IF(AND(AG135&lt;&gt;"",AH135&lt;&gt;""),AG135*AH135,IF(AI135&lt;&gt;"",AI135,IF(AJ135&lt;&gt;"",AJ135*43560,""))),"ERROR")</f>
        <v/>
      </c>
      <c r="AL135" s="15">
        <f>IFERROR(IF(AK135&lt;&gt;"",AK135/43560,""),"—")</f>
        <v/>
      </c>
      <c r="AN135" s="14">
        <f>IFERROR(IF(AL135="","",IF(AL135&lt;2,"Residential (&lt;2ac)",IF(AL135&lt;10,"Small Rural (2-10ac)",IF(AL135&lt;40,"Rural (10-40ac)",IF(AL135&lt;100,"Farm/Estate (40-100ac)","Large Farm (100+ac)"))))),"—")</f>
        <v/>
      </c>
      <c r="AZ135" s="21" t="n"/>
      <c r="BF135" s="21" t="n"/>
      <c r="BG135" s="21" t="n"/>
      <c r="BH135" s="22">
        <f>IFERROR(IF(AND(BF135&lt;&gt;"",BG135&lt;&gt;""),AVERAGE(BF135,BG135),""),"—")</f>
        <v/>
      </c>
      <c r="BK135" s="21" t="n"/>
      <c r="BM135" s="21" t="n"/>
      <c r="BN135" s="28">
        <f>IFERROR(IF(AND(BK135&lt;&gt;"",BM135&lt;&gt;""),IF(BM135&lt;BK135,1,0),""),"")</f>
        <v/>
      </c>
      <c r="BP135" s="21" t="n"/>
      <c r="BS135" s="29">
        <f>IFERROR(IF(AND(BH135&lt;&gt;"",BK135&lt;&gt;""),(BH135-BK135)/BK135,""),"—")</f>
        <v/>
      </c>
      <c r="BT135" s="29">
        <f>IFERROR(IF(AND(BH135&lt;&gt;"",BP135&lt;&gt;""),(BH135-BP135)/BP135,""),"—")</f>
        <v/>
      </c>
      <c r="BU135" s="29">
        <f>IFERROR(IF(AND(BK135&lt;&gt;"",BP135&lt;&gt;""),(BP135-BK135)/BK135,""),"—")</f>
        <v/>
      </c>
    </row>
    <row r="136">
      <c r="AK136" s="14">
        <f>IFERROR(IF(AND(AG136&lt;&gt;"",AH136&lt;&gt;""),AG136*AH136,IF(AI136&lt;&gt;"",AI136,IF(AJ136&lt;&gt;"",AJ136*43560,""))),"ERROR")</f>
        <v/>
      </c>
      <c r="AL136" s="15">
        <f>IFERROR(IF(AK136&lt;&gt;"",AK136/43560,""),"—")</f>
        <v/>
      </c>
      <c r="AN136" s="14">
        <f>IFERROR(IF(AL136="","",IF(AL136&lt;2,"Residential (&lt;2ac)",IF(AL136&lt;10,"Small Rural (2-10ac)",IF(AL136&lt;40,"Rural (10-40ac)",IF(AL136&lt;100,"Farm/Estate (40-100ac)","Large Farm (100+ac)"))))),"—")</f>
        <v/>
      </c>
      <c r="AZ136" s="21" t="n"/>
      <c r="BF136" s="21" t="n"/>
      <c r="BG136" s="21" t="n"/>
      <c r="BH136" s="22">
        <f>IFERROR(IF(AND(BF136&lt;&gt;"",BG136&lt;&gt;""),AVERAGE(BF136,BG136),""),"—")</f>
        <v/>
      </c>
      <c r="BK136" s="21" t="n"/>
      <c r="BM136" s="21" t="n"/>
      <c r="BN136" s="28">
        <f>IFERROR(IF(AND(BK136&lt;&gt;"",BM136&lt;&gt;""),IF(BM136&lt;BK136,1,0),""),"")</f>
        <v/>
      </c>
      <c r="BP136" s="21" t="n"/>
      <c r="BS136" s="29">
        <f>IFERROR(IF(AND(BH136&lt;&gt;"",BK136&lt;&gt;""),(BH136-BK136)/BK136,""),"—")</f>
        <v/>
      </c>
      <c r="BT136" s="29">
        <f>IFERROR(IF(AND(BH136&lt;&gt;"",BP136&lt;&gt;""),(BH136-BP136)/BP136,""),"—")</f>
        <v/>
      </c>
      <c r="BU136" s="29">
        <f>IFERROR(IF(AND(BK136&lt;&gt;"",BP136&lt;&gt;""),(BP136-BK136)/BK136,""),"—")</f>
        <v/>
      </c>
    </row>
    <row r="137">
      <c r="AK137" s="14">
        <f>IFERROR(IF(AND(AG137&lt;&gt;"",AH137&lt;&gt;""),AG137*AH137,IF(AI137&lt;&gt;"",AI137,IF(AJ137&lt;&gt;"",AJ137*43560,""))),"ERROR")</f>
        <v/>
      </c>
      <c r="AL137" s="15">
        <f>IFERROR(IF(AK137&lt;&gt;"",AK137/43560,""),"—")</f>
        <v/>
      </c>
      <c r="AN137" s="14">
        <f>IFERROR(IF(AL137="","",IF(AL137&lt;2,"Residential (&lt;2ac)",IF(AL137&lt;10,"Small Rural (2-10ac)",IF(AL137&lt;40,"Rural (10-40ac)",IF(AL137&lt;100,"Farm/Estate (40-100ac)","Large Farm (100+ac)"))))),"—")</f>
        <v/>
      </c>
      <c r="AZ137" s="21" t="n"/>
      <c r="BF137" s="21" t="n"/>
      <c r="BG137" s="21" t="n"/>
      <c r="BH137" s="22">
        <f>IFERROR(IF(AND(BF137&lt;&gt;"",BG137&lt;&gt;""),AVERAGE(BF137,BG137),""),"—")</f>
        <v/>
      </c>
      <c r="BK137" s="21" t="n"/>
      <c r="BM137" s="21" t="n"/>
      <c r="BN137" s="28">
        <f>IFERROR(IF(AND(BK137&lt;&gt;"",BM137&lt;&gt;""),IF(BM137&lt;BK137,1,0),""),"")</f>
        <v/>
      </c>
      <c r="BP137" s="21" t="n"/>
      <c r="BS137" s="29">
        <f>IFERROR(IF(AND(BH137&lt;&gt;"",BK137&lt;&gt;""),(BH137-BK137)/BK137,""),"—")</f>
        <v/>
      </c>
      <c r="BT137" s="29">
        <f>IFERROR(IF(AND(BH137&lt;&gt;"",BP137&lt;&gt;""),(BH137-BP137)/BP137,""),"—")</f>
        <v/>
      </c>
      <c r="BU137" s="29">
        <f>IFERROR(IF(AND(BK137&lt;&gt;"",BP137&lt;&gt;""),(BP137-BK137)/BK137,""),"—")</f>
        <v/>
      </c>
    </row>
    <row r="138">
      <c r="AK138" s="14">
        <f>IFERROR(IF(AND(AG138&lt;&gt;"",AH138&lt;&gt;""),AG138*AH138,IF(AI138&lt;&gt;"",AI138,IF(AJ138&lt;&gt;"",AJ138*43560,""))),"ERROR")</f>
        <v/>
      </c>
      <c r="AL138" s="15">
        <f>IFERROR(IF(AK138&lt;&gt;"",AK138/43560,""),"—")</f>
        <v/>
      </c>
      <c r="AN138" s="14">
        <f>IFERROR(IF(AL138="","",IF(AL138&lt;2,"Residential (&lt;2ac)",IF(AL138&lt;10,"Small Rural (2-10ac)",IF(AL138&lt;40,"Rural (10-40ac)",IF(AL138&lt;100,"Farm/Estate (40-100ac)","Large Farm (100+ac)"))))),"—")</f>
        <v/>
      </c>
      <c r="AZ138" s="21" t="n"/>
      <c r="BF138" s="21" t="n"/>
      <c r="BG138" s="21" t="n"/>
      <c r="BH138" s="22">
        <f>IFERROR(IF(AND(BF138&lt;&gt;"",BG138&lt;&gt;""),AVERAGE(BF138,BG138),""),"—")</f>
        <v/>
      </c>
      <c r="BK138" s="21" t="n"/>
      <c r="BM138" s="21" t="n"/>
      <c r="BN138" s="28">
        <f>IFERROR(IF(AND(BK138&lt;&gt;"",BM138&lt;&gt;""),IF(BM138&lt;BK138,1,0),""),"")</f>
        <v/>
      </c>
      <c r="BP138" s="21" t="n"/>
      <c r="BS138" s="29">
        <f>IFERROR(IF(AND(BH138&lt;&gt;"",BK138&lt;&gt;""),(BH138-BK138)/BK138,""),"—")</f>
        <v/>
      </c>
      <c r="BT138" s="29">
        <f>IFERROR(IF(AND(BH138&lt;&gt;"",BP138&lt;&gt;""),(BH138-BP138)/BP138,""),"—")</f>
        <v/>
      </c>
      <c r="BU138" s="29">
        <f>IFERROR(IF(AND(BK138&lt;&gt;"",BP138&lt;&gt;""),(BP138-BK138)/BK138,""),"—")</f>
        <v/>
      </c>
    </row>
    <row r="139">
      <c r="AK139" s="14">
        <f>IFERROR(IF(AND(AG139&lt;&gt;"",AH139&lt;&gt;""),AG139*AH139,IF(AI139&lt;&gt;"",AI139,IF(AJ139&lt;&gt;"",AJ139*43560,""))),"ERROR")</f>
        <v/>
      </c>
      <c r="AL139" s="15">
        <f>IFERROR(IF(AK139&lt;&gt;"",AK139/43560,""),"—")</f>
        <v/>
      </c>
      <c r="AN139" s="14">
        <f>IFERROR(IF(AL139="","",IF(AL139&lt;2,"Residential (&lt;2ac)",IF(AL139&lt;10,"Small Rural (2-10ac)",IF(AL139&lt;40,"Rural (10-40ac)",IF(AL139&lt;100,"Farm/Estate (40-100ac)","Large Farm (100+ac)"))))),"—")</f>
        <v/>
      </c>
      <c r="AZ139" s="21" t="n"/>
      <c r="BF139" s="21" t="n"/>
      <c r="BG139" s="21" t="n"/>
      <c r="BH139" s="22">
        <f>IFERROR(IF(AND(BF139&lt;&gt;"",BG139&lt;&gt;""),AVERAGE(BF139,BG139),""),"—")</f>
        <v/>
      </c>
      <c r="BK139" s="21" t="n"/>
      <c r="BM139" s="21" t="n"/>
      <c r="BN139" s="28">
        <f>IFERROR(IF(AND(BK139&lt;&gt;"",BM139&lt;&gt;""),IF(BM139&lt;BK139,1,0),""),"")</f>
        <v/>
      </c>
      <c r="BP139" s="21" t="n"/>
      <c r="BS139" s="29">
        <f>IFERROR(IF(AND(BH139&lt;&gt;"",BK139&lt;&gt;""),(BH139-BK139)/BK139,""),"—")</f>
        <v/>
      </c>
      <c r="BT139" s="29">
        <f>IFERROR(IF(AND(BH139&lt;&gt;"",BP139&lt;&gt;""),(BH139-BP139)/BP139,""),"—")</f>
        <v/>
      </c>
      <c r="BU139" s="29">
        <f>IFERROR(IF(AND(BK139&lt;&gt;"",BP139&lt;&gt;""),(BP139-BK139)/BK139,""),"—")</f>
        <v/>
      </c>
    </row>
    <row r="140">
      <c r="AK140" s="14">
        <f>IFERROR(IF(AND(AG140&lt;&gt;"",AH140&lt;&gt;""),AG140*AH140,IF(AI140&lt;&gt;"",AI140,IF(AJ140&lt;&gt;"",AJ140*43560,""))),"ERROR")</f>
        <v/>
      </c>
      <c r="AL140" s="15">
        <f>IFERROR(IF(AK140&lt;&gt;"",AK140/43560,""),"—")</f>
        <v/>
      </c>
      <c r="AN140" s="14">
        <f>IFERROR(IF(AL140="","",IF(AL140&lt;2,"Residential (&lt;2ac)",IF(AL140&lt;10,"Small Rural (2-10ac)",IF(AL140&lt;40,"Rural (10-40ac)",IF(AL140&lt;100,"Farm/Estate (40-100ac)","Large Farm (100+ac)"))))),"—")</f>
        <v/>
      </c>
      <c r="AZ140" s="21" t="n"/>
      <c r="BF140" s="21" t="n"/>
      <c r="BG140" s="21" t="n"/>
      <c r="BH140" s="22">
        <f>IFERROR(IF(AND(BF140&lt;&gt;"",BG140&lt;&gt;""),AVERAGE(BF140,BG140),""),"—")</f>
        <v/>
      </c>
      <c r="BK140" s="21" t="n"/>
      <c r="BM140" s="21" t="n"/>
      <c r="BN140" s="28">
        <f>IFERROR(IF(AND(BK140&lt;&gt;"",BM140&lt;&gt;""),IF(BM140&lt;BK140,1,0),""),"")</f>
        <v/>
      </c>
      <c r="BP140" s="21" t="n"/>
      <c r="BS140" s="29">
        <f>IFERROR(IF(AND(BH140&lt;&gt;"",BK140&lt;&gt;""),(BH140-BK140)/BK140,""),"—")</f>
        <v/>
      </c>
      <c r="BT140" s="29">
        <f>IFERROR(IF(AND(BH140&lt;&gt;"",BP140&lt;&gt;""),(BH140-BP140)/BP140,""),"—")</f>
        <v/>
      </c>
      <c r="BU140" s="29">
        <f>IFERROR(IF(AND(BK140&lt;&gt;"",BP140&lt;&gt;""),(BP140-BK140)/BK140,""),"—")</f>
        <v/>
      </c>
    </row>
    <row r="141">
      <c r="AK141" s="14">
        <f>IFERROR(IF(AND(AG141&lt;&gt;"",AH141&lt;&gt;""),AG141*AH141,IF(AI141&lt;&gt;"",AI141,IF(AJ141&lt;&gt;"",AJ141*43560,""))),"ERROR")</f>
        <v/>
      </c>
      <c r="AL141" s="15">
        <f>IFERROR(IF(AK141&lt;&gt;"",AK141/43560,""),"—")</f>
        <v/>
      </c>
      <c r="AN141" s="14">
        <f>IFERROR(IF(AL141="","",IF(AL141&lt;2,"Residential (&lt;2ac)",IF(AL141&lt;10,"Small Rural (2-10ac)",IF(AL141&lt;40,"Rural (10-40ac)",IF(AL141&lt;100,"Farm/Estate (40-100ac)","Large Farm (100+ac)"))))),"—")</f>
        <v/>
      </c>
      <c r="AZ141" s="21" t="n"/>
      <c r="BF141" s="21" t="n"/>
      <c r="BG141" s="21" t="n"/>
      <c r="BH141" s="22">
        <f>IFERROR(IF(AND(BF141&lt;&gt;"",BG141&lt;&gt;""),AVERAGE(BF141,BG141),""),"—")</f>
        <v/>
      </c>
      <c r="BK141" s="21" t="n"/>
      <c r="BM141" s="21" t="n"/>
      <c r="BN141" s="28">
        <f>IFERROR(IF(AND(BK141&lt;&gt;"",BM141&lt;&gt;""),IF(BM141&lt;BK141,1,0),""),"")</f>
        <v/>
      </c>
      <c r="BP141" s="21" t="n"/>
      <c r="BS141" s="29">
        <f>IFERROR(IF(AND(BH141&lt;&gt;"",BK141&lt;&gt;""),(BH141-BK141)/BK141,""),"—")</f>
        <v/>
      </c>
      <c r="BT141" s="29">
        <f>IFERROR(IF(AND(BH141&lt;&gt;"",BP141&lt;&gt;""),(BH141-BP141)/BP141,""),"—")</f>
        <v/>
      </c>
      <c r="BU141" s="29">
        <f>IFERROR(IF(AND(BK141&lt;&gt;"",BP141&lt;&gt;""),(BP141-BK141)/BK141,""),"—")</f>
        <v/>
      </c>
    </row>
    <row r="142">
      <c r="AK142" s="14">
        <f>IFERROR(IF(AND(AG142&lt;&gt;"",AH142&lt;&gt;""),AG142*AH142,IF(AI142&lt;&gt;"",AI142,IF(AJ142&lt;&gt;"",AJ142*43560,""))),"ERROR")</f>
        <v/>
      </c>
      <c r="AL142" s="15">
        <f>IFERROR(IF(AK142&lt;&gt;"",AK142/43560,""),"—")</f>
        <v/>
      </c>
      <c r="AN142" s="14">
        <f>IFERROR(IF(AL142="","",IF(AL142&lt;2,"Residential (&lt;2ac)",IF(AL142&lt;10,"Small Rural (2-10ac)",IF(AL142&lt;40,"Rural (10-40ac)",IF(AL142&lt;100,"Farm/Estate (40-100ac)","Large Farm (100+ac)"))))),"—")</f>
        <v/>
      </c>
      <c r="AZ142" s="21" t="n"/>
      <c r="BF142" s="21" t="n"/>
      <c r="BG142" s="21" t="n"/>
      <c r="BH142" s="22">
        <f>IFERROR(IF(AND(BF142&lt;&gt;"",BG142&lt;&gt;""),AVERAGE(BF142,BG142),""),"—")</f>
        <v/>
      </c>
      <c r="BK142" s="21" t="n"/>
      <c r="BM142" s="21" t="n"/>
      <c r="BN142" s="28">
        <f>IFERROR(IF(AND(BK142&lt;&gt;"",BM142&lt;&gt;""),IF(BM142&lt;BK142,1,0),""),"")</f>
        <v/>
      </c>
      <c r="BP142" s="21" t="n"/>
      <c r="BS142" s="29">
        <f>IFERROR(IF(AND(BH142&lt;&gt;"",BK142&lt;&gt;""),(BH142-BK142)/BK142,""),"—")</f>
        <v/>
      </c>
      <c r="BT142" s="29">
        <f>IFERROR(IF(AND(BH142&lt;&gt;"",BP142&lt;&gt;""),(BH142-BP142)/BP142,""),"—")</f>
        <v/>
      </c>
      <c r="BU142" s="29">
        <f>IFERROR(IF(AND(BK142&lt;&gt;"",BP142&lt;&gt;""),(BP142-BK142)/BK142,""),"—")</f>
        <v/>
      </c>
    </row>
    <row r="143">
      <c r="AK143" s="14">
        <f>IFERROR(IF(AND(AG143&lt;&gt;"",AH143&lt;&gt;""),AG143*AH143,IF(AI143&lt;&gt;"",AI143,IF(AJ143&lt;&gt;"",AJ143*43560,""))),"ERROR")</f>
        <v/>
      </c>
      <c r="AL143" s="15">
        <f>IFERROR(IF(AK143&lt;&gt;"",AK143/43560,""),"—")</f>
        <v/>
      </c>
      <c r="AN143" s="14">
        <f>IFERROR(IF(AL143="","",IF(AL143&lt;2,"Residential (&lt;2ac)",IF(AL143&lt;10,"Small Rural (2-10ac)",IF(AL143&lt;40,"Rural (10-40ac)",IF(AL143&lt;100,"Farm/Estate (40-100ac)","Large Farm (100+ac)"))))),"—")</f>
        <v/>
      </c>
      <c r="AZ143" s="21" t="n"/>
      <c r="BF143" s="21" t="n"/>
      <c r="BG143" s="21" t="n"/>
      <c r="BH143" s="22">
        <f>IFERROR(IF(AND(BF143&lt;&gt;"",BG143&lt;&gt;""),AVERAGE(BF143,BG143),""),"—")</f>
        <v/>
      </c>
      <c r="BK143" s="21" t="n"/>
      <c r="BM143" s="21" t="n"/>
      <c r="BN143" s="28">
        <f>IFERROR(IF(AND(BK143&lt;&gt;"",BM143&lt;&gt;""),IF(BM143&lt;BK143,1,0),""),"")</f>
        <v/>
      </c>
      <c r="BP143" s="21" t="n"/>
      <c r="BS143" s="29">
        <f>IFERROR(IF(AND(BH143&lt;&gt;"",BK143&lt;&gt;""),(BH143-BK143)/BK143,""),"—")</f>
        <v/>
      </c>
      <c r="BT143" s="29">
        <f>IFERROR(IF(AND(BH143&lt;&gt;"",BP143&lt;&gt;""),(BH143-BP143)/BP143,""),"—")</f>
        <v/>
      </c>
      <c r="BU143" s="29">
        <f>IFERROR(IF(AND(BK143&lt;&gt;"",BP143&lt;&gt;""),(BP143-BK143)/BK143,""),"—")</f>
        <v/>
      </c>
    </row>
    <row r="144">
      <c r="AK144" s="14">
        <f>IFERROR(IF(AND(AG144&lt;&gt;"",AH144&lt;&gt;""),AG144*AH144,IF(AI144&lt;&gt;"",AI144,IF(AJ144&lt;&gt;"",AJ144*43560,""))),"ERROR")</f>
        <v/>
      </c>
      <c r="AL144" s="15">
        <f>IFERROR(IF(AK144&lt;&gt;"",AK144/43560,""),"—")</f>
        <v/>
      </c>
      <c r="AN144" s="14">
        <f>IFERROR(IF(AL144="","",IF(AL144&lt;2,"Residential (&lt;2ac)",IF(AL144&lt;10,"Small Rural (2-10ac)",IF(AL144&lt;40,"Rural (10-40ac)",IF(AL144&lt;100,"Farm/Estate (40-100ac)","Large Farm (100+ac)"))))),"—")</f>
        <v/>
      </c>
      <c r="AZ144" s="21" t="n"/>
      <c r="BF144" s="21" t="n"/>
      <c r="BG144" s="21" t="n"/>
      <c r="BH144" s="22">
        <f>IFERROR(IF(AND(BF144&lt;&gt;"",BG144&lt;&gt;""),AVERAGE(BF144,BG144),""),"—")</f>
        <v/>
      </c>
      <c r="BK144" s="21" t="n"/>
      <c r="BM144" s="21" t="n"/>
      <c r="BN144" s="28">
        <f>IFERROR(IF(AND(BK144&lt;&gt;"",BM144&lt;&gt;""),IF(BM144&lt;BK144,1,0),""),"")</f>
        <v/>
      </c>
      <c r="BP144" s="21" t="n"/>
      <c r="BS144" s="29">
        <f>IFERROR(IF(AND(BH144&lt;&gt;"",BK144&lt;&gt;""),(BH144-BK144)/BK144,""),"—")</f>
        <v/>
      </c>
      <c r="BT144" s="29">
        <f>IFERROR(IF(AND(BH144&lt;&gt;"",BP144&lt;&gt;""),(BH144-BP144)/BP144,""),"—")</f>
        <v/>
      </c>
      <c r="BU144" s="29">
        <f>IFERROR(IF(AND(BK144&lt;&gt;"",BP144&lt;&gt;""),(BP144-BK144)/BK144,""),"—")</f>
        <v/>
      </c>
    </row>
    <row r="145">
      <c r="AK145" s="14">
        <f>IFERROR(IF(AND(AG145&lt;&gt;"",AH145&lt;&gt;""),AG145*AH145,IF(AI145&lt;&gt;"",AI145,IF(AJ145&lt;&gt;"",AJ145*43560,""))),"ERROR")</f>
        <v/>
      </c>
      <c r="AL145" s="15">
        <f>IFERROR(IF(AK145&lt;&gt;"",AK145/43560,""),"—")</f>
        <v/>
      </c>
      <c r="AN145" s="14">
        <f>IFERROR(IF(AL145="","",IF(AL145&lt;2,"Residential (&lt;2ac)",IF(AL145&lt;10,"Small Rural (2-10ac)",IF(AL145&lt;40,"Rural (10-40ac)",IF(AL145&lt;100,"Farm/Estate (40-100ac)","Large Farm (100+ac)"))))),"—")</f>
        <v/>
      </c>
      <c r="AZ145" s="21" t="n"/>
      <c r="BF145" s="21" t="n"/>
      <c r="BG145" s="21" t="n"/>
      <c r="BH145" s="22">
        <f>IFERROR(IF(AND(BF145&lt;&gt;"",BG145&lt;&gt;""),AVERAGE(BF145,BG145),""),"—")</f>
        <v/>
      </c>
      <c r="BK145" s="21" t="n"/>
      <c r="BM145" s="21" t="n"/>
      <c r="BN145" s="28">
        <f>IFERROR(IF(AND(BK145&lt;&gt;"",BM145&lt;&gt;""),IF(BM145&lt;BK145,1,0),""),"")</f>
        <v/>
      </c>
      <c r="BP145" s="21" t="n"/>
      <c r="BS145" s="29">
        <f>IFERROR(IF(AND(BH145&lt;&gt;"",BK145&lt;&gt;""),(BH145-BK145)/BK145,""),"—")</f>
        <v/>
      </c>
      <c r="BT145" s="29">
        <f>IFERROR(IF(AND(BH145&lt;&gt;"",BP145&lt;&gt;""),(BH145-BP145)/BP145,""),"—")</f>
        <v/>
      </c>
      <c r="BU145" s="29">
        <f>IFERROR(IF(AND(BK145&lt;&gt;"",BP145&lt;&gt;""),(BP145-BK145)/BK145,""),"—")</f>
        <v/>
      </c>
    </row>
    <row r="146">
      <c r="AK146" s="14">
        <f>IFERROR(IF(AND(AG146&lt;&gt;"",AH146&lt;&gt;""),AG146*AH146,IF(AI146&lt;&gt;"",AI146,IF(AJ146&lt;&gt;"",AJ146*43560,""))),"ERROR")</f>
        <v/>
      </c>
      <c r="AL146" s="15">
        <f>IFERROR(IF(AK146&lt;&gt;"",AK146/43560,""),"—")</f>
        <v/>
      </c>
      <c r="AN146" s="14">
        <f>IFERROR(IF(AL146="","",IF(AL146&lt;2,"Residential (&lt;2ac)",IF(AL146&lt;10,"Small Rural (2-10ac)",IF(AL146&lt;40,"Rural (10-40ac)",IF(AL146&lt;100,"Farm/Estate (40-100ac)","Large Farm (100+ac)"))))),"—")</f>
        <v/>
      </c>
      <c r="AZ146" s="21" t="n"/>
      <c r="BF146" s="21" t="n"/>
      <c r="BG146" s="21" t="n"/>
      <c r="BH146" s="22">
        <f>IFERROR(IF(AND(BF146&lt;&gt;"",BG146&lt;&gt;""),AVERAGE(BF146,BG146),""),"—")</f>
        <v/>
      </c>
      <c r="BK146" s="21" t="n"/>
      <c r="BM146" s="21" t="n"/>
      <c r="BN146" s="28">
        <f>IFERROR(IF(AND(BK146&lt;&gt;"",BM146&lt;&gt;""),IF(BM146&lt;BK146,1,0),""),"")</f>
        <v/>
      </c>
      <c r="BP146" s="21" t="n"/>
      <c r="BS146" s="29">
        <f>IFERROR(IF(AND(BH146&lt;&gt;"",BK146&lt;&gt;""),(BH146-BK146)/BK146,""),"—")</f>
        <v/>
      </c>
      <c r="BT146" s="29">
        <f>IFERROR(IF(AND(BH146&lt;&gt;"",BP146&lt;&gt;""),(BH146-BP146)/BP146,""),"—")</f>
        <v/>
      </c>
      <c r="BU146" s="29">
        <f>IFERROR(IF(AND(BK146&lt;&gt;"",BP146&lt;&gt;""),(BP146-BK146)/BK146,""),"—")</f>
        <v/>
      </c>
    </row>
    <row r="147">
      <c r="AK147" s="14">
        <f>IFERROR(IF(AND(AG147&lt;&gt;"",AH147&lt;&gt;""),AG147*AH147,IF(AI147&lt;&gt;"",AI147,IF(AJ147&lt;&gt;"",AJ147*43560,""))),"ERROR")</f>
        <v/>
      </c>
      <c r="AL147" s="15">
        <f>IFERROR(IF(AK147&lt;&gt;"",AK147/43560,""),"—")</f>
        <v/>
      </c>
      <c r="AN147" s="14">
        <f>IFERROR(IF(AL147="","",IF(AL147&lt;2,"Residential (&lt;2ac)",IF(AL147&lt;10,"Small Rural (2-10ac)",IF(AL147&lt;40,"Rural (10-40ac)",IF(AL147&lt;100,"Farm/Estate (40-100ac)","Large Farm (100+ac)"))))),"—")</f>
        <v/>
      </c>
      <c r="AZ147" s="21" t="n"/>
      <c r="BF147" s="21" t="n"/>
      <c r="BG147" s="21" t="n"/>
      <c r="BH147" s="22">
        <f>IFERROR(IF(AND(BF147&lt;&gt;"",BG147&lt;&gt;""),AVERAGE(BF147,BG147),""),"—")</f>
        <v/>
      </c>
      <c r="BK147" s="21" t="n"/>
      <c r="BM147" s="21" t="n"/>
      <c r="BN147" s="28">
        <f>IFERROR(IF(AND(BK147&lt;&gt;"",BM147&lt;&gt;""),IF(BM147&lt;BK147,1,0),""),"")</f>
        <v/>
      </c>
      <c r="BP147" s="21" t="n"/>
      <c r="BS147" s="29">
        <f>IFERROR(IF(AND(BH147&lt;&gt;"",BK147&lt;&gt;""),(BH147-BK147)/BK147,""),"—")</f>
        <v/>
      </c>
      <c r="BT147" s="29">
        <f>IFERROR(IF(AND(BH147&lt;&gt;"",BP147&lt;&gt;""),(BH147-BP147)/BP147,""),"—")</f>
        <v/>
      </c>
      <c r="BU147" s="29">
        <f>IFERROR(IF(AND(BK147&lt;&gt;"",BP147&lt;&gt;""),(BP147-BK147)/BK147,""),"—")</f>
        <v/>
      </c>
    </row>
    <row r="148">
      <c r="AK148" s="14">
        <f>IFERROR(IF(AND(AG148&lt;&gt;"",AH148&lt;&gt;""),AG148*AH148,IF(AI148&lt;&gt;"",AI148,IF(AJ148&lt;&gt;"",AJ148*43560,""))),"ERROR")</f>
        <v/>
      </c>
      <c r="AL148" s="15">
        <f>IFERROR(IF(AK148&lt;&gt;"",AK148/43560,""),"—")</f>
        <v/>
      </c>
      <c r="AN148" s="14">
        <f>IFERROR(IF(AL148="","",IF(AL148&lt;2,"Residential (&lt;2ac)",IF(AL148&lt;10,"Small Rural (2-10ac)",IF(AL148&lt;40,"Rural (10-40ac)",IF(AL148&lt;100,"Farm/Estate (40-100ac)","Large Farm (100+ac)"))))),"—")</f>
        <v/>
      </c>
      <c r="AZ148" s="21" t="n"/>
      <c r="BF148" s="21" t="n"/>
      <c r="BG148" s="21" t="n"/>
      <c r="BH148" s="22">
        <f>IFERROR(IF(AND(BF148&lt;&gt;"",BG148&lt;&gt;""),AVERAGE(BF148,BG148),""),"—")</f>
        <v/>
      </c>
      <c r="BK148" s="21" t="n"/>
      <c r="BM148" s="21" t="n"/>
      <c r="BN148" s="28">
        <f>IFERROR(IF(AND(BK148&lt;&gt;"",BM148&lt;&gt;""),IF(BM148&lt;BK148,1,0),""),"")</f>
        <v/>
      </c>
      <c r="BP148" s="21" t="n"/>
      <c r="BS148" s="29">
        <f>IFERROR(IF(AND(BH148&lt;&gt;"",BK148&lt;&gt;""),(BH148-BK148)/BK148,""),"—")</f>
        <v/>
      </c>
      <c r="BT148" s="29">
        <f>IFERROR(IF(AND(BH148&lt;&gt;"",BP148&lt;&gt;""),(BH148-BP148)/BP148,""),"—")</f>
        <v/>
      </c>
      <c r="BU148" s="29">
        <f>IFERROR(IF(AND(BK148&lt;&gt;"",BP148&lt;&gt;""),(BP148-BK148)/BK148,""),"—")</f>
        <v/>
      </c>
    </row>
    <row r="149">
      <c r="AK149" s="14">
        <f>IFERROR(IF(AND(AG149&lt;&gt;"",AH149&lt;&gt;""),AG149*AH149,IF(AI149&lt;&gt;"",AI149,IF(AJ149&lt;&gt;"",AJ149*43560,""))),"ERROR")</f>
        <v/>
      </c>
      <c r="AL149" s="15">
        <f>IFERROR(IF(AK149&lt;&gt;"",AK149/43560,""),"—")</f>
        <v/>
      </c>
      <c r="AN149" s="14">
        <f>IFERROR(IF(AL149="","",IF(AL149&lt;2,"Residential (&lt;2ac)",IF(AL149&lt;10,"Small Rural (2-10ac)",IF(AL149&lt;40,"Rural (10-40ac)",IF(AL149&lt;100,"Farm/Estate (40-100ac)","Large Farm (100+ac)"))))),"—")</f>
        <v/>
      </c>
      <c r="AZ149" s="21" t="n"/>
      <c r="BF149" s="21" t="n"/>
      <c r="BG149" s="21" t="n"/>
      <c r="BH149" s="22">
        <f>IFERROR(IF(AND(BF149&lt;&gt;"",BG149&lt;&gt;""),AVERAGE(BF149,BG149),""),"—")</f>
        <v/>
      </c>
      <c r="BK149" s="21" t="n"/>
      <c r="BM149" s="21" t="n"/>
      <c r="BN149" s="28">
        <f>IFERROR(IF(AND(BK149&lt;&gt;"",BM149&lt;&gt;""),IF(BM149&lt;BK149,1,0),""),"")</f>
        <v/>
      </c>
      <c r="BP149" s="21" t="n"/>
      <c r="BS149" s="29">
        <f>IFERROR(IF(AND(BH149&lt;&gt;"",BK149&lt;&gt;""),(BH149-BK149)/BK149,""),"—")</f>
        <v/>
      </c>
      <c r="BT149" s="29">
        <f>IFERROR(IF(AND(BH149&lt;&gt;"",BP149&lt;&gt;""),(BH149-BP149)/BP149,""),"—")</f>
        <v/>
      </c>
      <c r="BU149" s="29">
        <f>IFERROR(IF(AND(BK149&lt;&gt;"",BP149&lt;&gt;""),(BP149-BK149)/BK149,""),"—")</f>
        <v/>
      </c>
    </row>
    <row r="150">
      <c r="AK150" s="14">
        <f>IFERROR(IF(AND(AG150&lt;&gt;"",AH150&lt;&gt;""),AG150*AH150,IF(AI150&lt;&gt;"",AI150,IF(AJ150&lt;&gt;"",AJ150*43560,""))),"ERROR")</f>
        <v/>
      </c>
      <c r="AL150" s="15">
        <f>IFERROR(IF(AK150&lt;&gt;"",AK150/43560,""),"—")</f>
        <v/>
      </c>
      <c r="AN150" s="14">
        <f>IFERROR(IF(AL150="","",IF(AL150&lt;2,"Residential (&lt;2ac)",IF(AL150&lt;10,"Small Rural (2-10ac)",IF(AL150&lt;40,"Rural (10-40ac)",IF(AL150&lt;100,"Farm/Estate (40-100ac)","Large Farm (100+ac)"))))),"—")</f>
        <v/>
      </c>
      <c r="AZ150" s="21" t="n"/>
      <c r="BF150" s="21" t="n"/>
      <c r="BG150" s="21" t="n"/>
      <c r="BH150" s="22">
        <f>IFERROR(IF(AND(BF150&lt;&gt;"",BG150&lt;&gt;""),AVERAGE(BF150,BG150),""),"—")</f>
        <v/>
      </c>
      <c r="BK150" s="21" t="n"/>
      <c r="BM150" s="21" t="n"/>
      <c r="BN150" s="28">
        <f>IFERROR(IF(AND(BK150&lt;&gt;"",BM150&lt;&gt;""),IF(BM150&lt;BK150,1,0),""),"")</f>
        <v/>
      </c>
      <c r="BP150" s="21" t="n"/>
      <c r="BS150" s="29">
        <f>IFERROR(IF(AND(BH150&lt;&gt;"",BK150&lt;&gt;""),(BH150-BK150)/BK150,""),"—")</f>
        <v/>
      </c>
      <c r="BT150" s="29">
        <f>IFERROR(IF(AND(BH150&lt;&gt;"",BP150&lt;&gt;""),(BH150-BP150)/BP150,""),"—")</f>
        <v/>
      </c>
      <c r="BU150" s="29">
        <f>IFERROR(IF(AND(BK150&lt;&gt;"",BP150&lt;&gt;""),(BP150-BK150)/BK150,""),"—")</f>
        <v/>
      </c>
    </row>
    <row r="151">
      <c r="AK151" s="14">
        <f>IFERROR(IF(AND(AG151&lt;&gt;"",AH151&lt;&gt;""),AG151*AH151,IF(AI151&lt;&gt;"",AI151,IF(AJ151&lt;&gt;"",AJ151*43560,""))),"ERROR")</f>
        <v/>
      </c>
      <c r="AL151" s="15">
        <f>IFERROR(IF(AK151&lt;&gt;"",AK151/43560,""),"—")</f>
        <v/>
      </c>
      <c r="AN151" s="14">
        <f>IFERROR(IF(AL151="","",IF(AL151&lt;2,"Residential (&lt;2ac)",IF(AL151&lt;10,"Small Rural (2-10ac)",IF(AL151&lt;40,"Rural (10-40ac)",IF(AL151&lt;100,"Farm/Estate (40-100ac)","Large Farm (100+ac)"))))),"—")</f>
        <v/>
      </c>
      <c r="AZ151" s="21" t="n"/>
      <c r="BF151" s="21" t="n"/>
      <c r="BG151" s="21" t="n"/>
      <c r="BH151" s="22">
        <f>IFERROR(IF(AND(BF151&lt;&gt;"",BG151&lt;&gt;""),AVERAGE(BF151,BG151),""),"—")</f>
        <v/>
      </c>
      <c r="BK151" s="21" t="n"/>
      <c r="BM151" s="21" t="n"/>
      <c r="BN151" s="28">
        <f>IFERROR(IF(AND(BK151&lt;&gt;"",BM151&lt;&gt;""),IF(BM151&lt;BK151,1,0),""),"")</f>
        <v/>
      </c>
      <c r="BP151" s="21" t="n"/>
      <c r="BS151" s="29">
        <f>IFERROR(IF(AND(BH151&lt;&gt;"",BK151&lt;&gt;""),(BH151-BK151)/BK151,""),"—")</f>
        <v/>
      </c>
      <c r="BT151" s="29">
        <f>IFERROR(IF(AND(BH151&lt;&gt;"",BP151&lt;&gt;""),(BH151-BP151)/BP151,""),"—")</f>
        <v/>
      </c>
      <c r="BU151" s="29">
        <f>IFERROR(IF(AND(BK151&lt;&gt;"",BP151&lt;&gt;""),(BP151-BK151)/BK151,""),"—")</f>
        <v/>
      </c>
    </row>
    <row r="152">
      <c r="AK152" s="14">
        <f>IFERROR(IF(AND(AG152&lt;&gt;"",AH152&lt;&gt;""),AG152*AH152,IF(AI152&lt;&gt;"",AI152,IF(AJ152&lt;&gt;"",AJ152*43560,""))),"ERROR")</f>
        <v/>
      </c>
      <c r="AL152" s="15">
        <f>IFERROR(IF(AK152&lt;&gt;"",AK152/43560,""),"—")</f>
        <v/>
      </c>
      <c r="AN152" s="14">
        <f>IFERROR(IF(AL152="","",IF(AL152&lt;2,"Residential (&lt;2ac)",IF(AL152&lt;10,"Small Rural (2-10ac)",IF(AL152&lt;40,"Rural (10-40ac)",IF(AL152&lt;100,"Farm/Estate (40-100ac)","Large Farm (100+ac)"))))),"—")</f>
        <v/>
      </c>
      <c r="AZ152" s="21" t="n"/>
      <c r="BF152" s="21" t="n"/>
      <c r="BG152" s="21" t="n"/>
      <c r="BH152" s="22">
        <f>IFERROR(IF(AND(BF152&lt;&gt;"",BG152&lt;&gt;""),AVERAGE(BF152,BG152),""),"—")</f>
        <v/>
      </c>
      <c r="BK152" s="21" t="n"/>
      <c r="BM152" s="21" t="n"/>
      <c r="BN152" s="28">
        <f>IFERROR(IF(AND(BK152&lt;&gt;"",BM152&lt;&gt;""),IF(BM152&lt;BK152,1,0),""),"")</f>
        <v/>
      </c>
      <c r="BP152" s="21" t="n"/>
      <c r="BS152" s="29">
        <f>IFERROR(IF(AND(BH152&lt;&gt;"",BK152&lt;&gt;""),(BH152-BK152)/BK152,""),"—")</f>
        <v/>
      </c>
      <c r="BT152" s="29">
        <f>IFERROR(IF(AND(BH152&lt;&gt;"",BP152&lt;&gt;""),(BH152-BP152)/BP152,""),"—")</f>
        <v/>
      </c>
      <c r="BU152" s="29">
        <f>IFERROR(IF(AND(BK152&lt;&gt;"",BP152&lt;&gt;""),(BP152-BK152)/BK152,""),"—")</f>
        <v/>
      </c>
    </row>
    <row r="153">
      <c r="AK153" s="14">
        <f>IFERROR(IF(AND(AG153&lt;&gt;"",AH153&lt;&gt;""),AG153*AH153,IF(AI153&lt;&gt;"",AI153,IF(AJ153&lt;&gt;"",AJ153*43560,""))),"ERROR")</f>
        <v/>
      </c>
      <c r="AL153" s="15">
        <f>IFERROR(IF(AK153&lt;&gt;"",AK153/43560,""),"—")</f>
        <v/>
      </c>
      <c r="AN153" s="14">
        <f>IFERROR(IF(AL153="","",IF(AL153&lt;2,"Residential (&lt;2ac)",IF(AL153&lt;10,"Small Rural (2-10ac)",IF(AL153&lt;40,"Rural (10-40ac)",IF(AL153&lt;100,"Farm/Estate (40-100ac)","Large Farm (100+ac)"))))),"—")</f>
        <v/>
      </c>
      <c r="AZ153" s="21" t="n"/>
      <c r="BF153" s="21" t="n"/>
      <c r="BG153" s="21" t="n"/>
      <c r="BH153" s="22">
        <f>IFERROR(IF(AND(BF153&lt;&gt;"",BG153&lt;&gt;""),AVERAGE(BF153,BG153),""),"—")</f>
        <v/>
      </c>
      <c r="BK153" s="21" t="n"/>
      <c r="BM153" s="21" t="n"/>
      <c r="BN153" s="28">
        <f>IFERROR(IF(AND(BK153&lt;&gt;"",BM153&lt;&gt;""),IF(BM153&lt;BK153,1,0),""),"")</f>
        <v/>
      </c>
      <c r="BP153" s="21" t="n"/>
      <c r="BS153" s="29">
        <f>IFERROR(IF(AND(BH153&lt;&gt;"",BK153&lt;&gt;""),(BH153-BK153)/BK153,""),"—")</f>
        <v/>
      </c>
      <c r="BT153" s="29">
        <f>IFERROR(IF(AND(BH153&lt;&gt;"",BP153&lt;&gt;""),(BH153-BP153)/BP153,""),"—")</f>
        <v/>
      </c>
      <c r="BU153" s="29">
        <f>IFERROR(IF(AND(BK153&lt;&gt;"",BP153&lt;&gt;""),(BP153-BK153)/BK153,""),"—")</f>
        <v/>
      </c>
    </row>
    <row r="154">
      <c r="AK154" s="14">
        <f>IFERROR(IF(AND(AG154&lt;&gt;"",AH154&lt;&gt;""),AG154*AH154,IF(AI154&lt;&gt;"",AI154,IF(AJ154&lt;&gt;"",AJ154*43560,""))),"ERROR")</f>
        <v/>
      </c>
      <c r="AL154" s="15">
        <f>IFERROR(IF(AK154&lt;&gt;"",AK154/43560,""),"—")</f>
        <v/>
      </c>
      <c r="AN154" s="14">
        <f>IFERROR(IF(AL154="","",IF(AL154&lt;2,"Residential (&lt;2ac)",IF(AL154&lt;10,"Small Rural (2-10ac)",IF(AL154&lt;40,"Rural (10-40ac)",IF(AL154&lt;100,"Farm/Estate (40-100ac)","Large Farm (100+ac)"))))),"—")</f>
        <v/>
      </c>
      <c r="AZ154" s="21" t="n"/>
      <c r="BF154" s="21" t="n"/>
      <c r="BG154" s="21" t="n"/>
      <c r="BH154" s="22">
        <f>IFERROR(IF(AND(BF154&lt;&gt;"",BG154&lt;&gt;""),AVERAGE(BF154,BG154),""),"—")</f>
        <v/>
      </c>
      <c r="BK154" s="21" t="n"/>
      <c r="BM154" s="21" t="n"/>
      <c r="BN154" s="28">
        <f>IFERROR(IF(AND(BK154&lt;&gt;"",BM154&lt;&gt;""),IF(BM154&lt;BK154,1,0),""),"")</f>
        <v/>
      </c>
      <c r="BP154" s="21" t="n"/>
      <c r="BS154" s="29">
        <f>IFERROR(IF(AND(BH154&lt;&gt;"",BK154&lt;&gt;""),(BH154-BK154)/BK154,""),"—")</f>
        <v/>
      </c>
      <c r="BT154" s="29">
        <f>IFERROR(IF(AND(BH154&lt;&gt;"",BP154&lt;&gt;""),(BH154-BP154)/BP154,""),"—")</f>
        <v/>
      </c>
      <c r="BU154" s="29">
        <f>IFERROR(IF(AND(BK154&lt;&gt;"",BP154&lt;&gt;""),(BP154-BK154)/BK154,""),"—")</f>
        <v/>
      </c>
    </row>
    <row r="155">
      <c r="AK155" s="14">
        <f>IFERROR(IF(AND(AG155&lt;&gt;"",AH155&lt;&gt;""),AG155*AH155,IF(AI155&lt;&gt;"",AI155,IF(AJ155&lt;&gt;"",AJ155*43560,""))),"ERROR")</f>
        <v/>
      </c>
      <c r="AL155" s="15">
        <f>IFERROR(IF(AK155&lt;&gt;"",AK155/43560,""),"—")</f>
        <v/>
      </c>
      <c r="AN155" s="14">
        <f>IFERROR(IF(AL155="","",IF(AL155&lt;2,"Residential (&lt;2ac)",IF(AL155&lt;10,"Small Rural (2-10ac)",IF(AL155&lt;40,"Rural (10-40ac)",IF(AL155&lt;100,"Farm/Estate (40-100ac)","Large Farm (100+ac)"))))),"—")</f>
        <v/>
      </c>
      <c r="AZ155" s="21" t="n"/>
      <c r="BF155" s="21" t="n"/>
      <c r="BG155" s="21" t="n"/>
      <c r="BH155" s="22">
        <f>IFERROR(IF(AND(BF155&lt;&gt;"",BG155&lt;&gt;""),AVERAGE(BF155,BG155),""),"—")</f>
        <v/>
      </c>
      <c r="BK155" s="21" t="n"/>
      <c r="BM155" s="21" t="n"/>
      <c r="BN155" s="28">
        <f>IFERROR(IF(AND(BK155&lt;&gt;"",BM155&lt;&gt;""),IF(BM155&lt;BK155,1,0),""),"")</f>
        <v/>
      </c>
      <c r="BP155" s="21" t="n"/>
      <c r="BS155" s="29">
        <f>IFERROR(IF(AND(BH155&lt;&gt;"",BK155&lt;&gt;""),(BH155-BK155)/BK155,""),"—")</f>
        <v/>
      </c>
      <c r="BT155" s="29">
        <f>IFERROR(IF(AND(BH155&lt;&gt;"",BP155&lt;&gt;""),(BH155-BP155)/BP155,""),"—")</f>
        <v/>
      </c>
      <c r="BU155" s="29">
        <f>IFERROR(IF(AND(BK155&lt;&gt;"",BP155&lt;&gt;""),(BP155-BK155)/BK155,""),"—")</f>
        <v/>
      </c>
    </row>
    <row r="156">
      <c r="AK156" s="14">
        <f>IFERROR(IF(AND(AG156&lt;&gt;"",AH156&lt;&gt;""),AG156*AH156,IF(AI156&lt;&gt;"",AI156,IF(AJ156&lt;&gt;"",AJ156*43560,""))),"ERROR")</f>
        <v/>
      </c>
      <c r="AL156" s="15">
        <f>IFERROR(IF(AK156&lt;&gt;"",AK156/43560,""),"—")</f>
        <v/>
      </c>
      <c r="AN156" s="14">
        <f>IFERROR(IF(AL156="","",IF(AL156&lt;2,"Residential (&lt;2ac)",IF(AL156&lt;10,"Small Rural (2-10ac)",IF(AL156&lt;40,"Rural (10-40ac)",IF(AL156&lt;100,"Farm/Estate (40-100ac)","Large Farm (100+ac)"))))),"—")</f>
        <v/>
      </c>
      <c r="AZ156" s="21" t="n"/>
      <c r="BF156" s="21" t="n"/>
      <c r="BG156" s="21" t="n"/>
      <c r="BH156" s="22">
        <f>IFERROR(IF(AND(BF156&lt;&gt;"",BG156&lt;&gt;""),AVERAGE(BF156,BG156),""),"—")</f>
        <v/>
      </c>
      <c r="BK156" s="21" t="n"/>
      <c r="BM156" s="21" t="n"/>
      <c r="BN156" s="28">
        <f>IFERROR(IF(AND(BK156&lt;&gt;"",BM156&lt;&gt;""),IF(BM156&lt;BK156,1,0),""),"")</f>
        <v/>
      </c>
      <c r="BP156" s="21" t="n"/>
      <c r="BS156" s="29">
        <f>IFERROR(IF(AND(BH156&lt;&gt;"",BK156&lt;&gt;""),(BH156-BK156)/BK156,""),"—")</f>
        <v/>
      </c>
      <c r="BT156" s="29">
        <f>IFERROR(IF(AND(BH156&lt;&gt;"",BP156&lt;&gt;""),(BH156-BP156)/BP156,""),"—")</f>
        <v/>
      </c>
      <c r="BU156" s="29">
        <f>IFERROR(IF(AND(BK156&lt;&gt;"",BP156&lt;&gt;""),(BP156-BK156)/BK156,""),"—")</f>
        <v/>
      </c>
    </row>
    <row r="157">
      <c r="AK157" s="14">
        <f>IFERROR(IF(AND(AG157&lt;&gt;"",AH157&lt;&gt;""),AG157*AH157,IF(AI157&lt;&gt;"",AI157,IF(AJ157&lt;&gt;"",AJ157*43560,""))),"ERROR")</f>
        <v/>
      </c>
      <c r="AL157" s="15">
        <f>IFERROR(IF(AK157&lt;&gt;"",AK157/43560,""),"—")</f>
        <v/>
      </c>
      <c r="AN157" s="14">
        <f>IFERROR(IF(AL157="","",IF(AL157&lt;2,"Residential (&lt;2ac)",IF(AL157&lt;10,"Small Rural (2-10ac)",IF(AL157&lt;40,"Rural (10-40ac)",IF(AL157&lt;100,"Farm/Estate (40-100ac)","Large Farm (100+ac)"))))),"—")</f>
        <v/>
      </c>
      <c r="AZ157" s="21" t="n"/>
      <c r="BF157" s="21" t="n"/>
      <c r="BG157" s="21" t="n"/>
      <c r="BH157" s="22">
        <f>IFERROR(IF(AND(BF157&lt;&gt;"",BG157&lt;&gt;""),AVERAGE(BF157,BG157),""),"—")</f>
        <v/>
      </c>
      <c r="BK157" s="21" t="n"/>
      <c r="BM157" s="21" t="n"/>
      <c r="BN157" s="28">
        <f>IFERROR(IF(AND(BK157&lt;&gt;"",BM157&lt;&gt;""),IF(BM157&lt;BK157,1,0),""),"")</f>
        <v/>
      </c>
      <c r="BP157" s="21" t="n"/>
      <c r="BS157" s="29">
        <f>IFERROR(IF(AND(BH157&lt;&gt;"",BK157&lt;&gt;""),(BH157-BK157)/BK157,""),"—")</f>
        <v/>
      </c>
      <c r="BT157" s="29">
        <f>IFERROR(IF(AND(BH157&lt;&gt;"",BP157&lt;&gt;""),(BH157-BP157)/BP157,""),"—")</f>
        <v/>
      </c>
      <c r="BU157" s="29">
        <f>IFERROR(IF(AND(BK157&lt;&gt;"",BP157&lt;&gt;""),(BP157-BK157)/BK157,""),"—")</f>
        <v/>
      </c>
    </row>
    <row r="158">
      <c r="AK158" s="14">
        <f>IFERROR(IF(AND(AG158&lt;&gt;"",AH158&lt;&gt;""),AG158*AH158,IF(AI158&lt;&gt;"",AI158,IF(AJ158&lt;&gt;"",AJ158*43560,""))),"ERROR")</f>
        <v/>
      </c>
      <c r="AL158" s="15">
        <f>IFERROR(IF(AK158&lt;&gt;"",AK158/43560,""),"—")</f>
        <v/>
      </c>
      <c r="AN158" s="14">
        <f>IFERROR(IF(AL158="","",IF(AL158&lt;2,"Residential (&lt;2ac)",IF(AL158&lt;10,"Small Rural (2-10ac)",IF(AL158&lt;40,"Rural (10-40ac)",IF(AL158&lt;100,"Farm/Estate (40-100ac)","Large Farm (100+ac)"))))),"—")</f>
        <v/>
      </c>
      <c r="AZ158" s="21" t="n"/>
      <c r="BF158" s="21" t="n"/>
      <c r="BG158" s="21" t="n"/>
      <c r="BH158" s="22">
        <f>IFERROR(IF(AND(BF158&lt;&gt;"",BG158&lt;&gt;""),AVERAGE(BF158,BG158),""),"—")</f>
        <v/>
      </c>
      <c r="BK158" s="21" t="n"/>
      <c r="BM158" s="21" t="n"/>
      <c r="BN158" s="28">
        <f>IFERROR(IF(AND(BK158&lt;&gt;"",BM158&lt;&gt;""),IF(BM158&lt;BK158,1,0),""),"")</f>
        <v/>
      </c>
      <c r="BP158" s="21" t="n"/>
      <c r="BS158" s="29">
        <f>IFERROR(IF(AND(BH158&lt;&gt;"",BK158&lt;&gt;""),(BH158-BK158)/BK158,""),"—")</f>
        <v/>
      </c>
      <c r="BT158" s="29">
        <f>IFERROR(IF(AND(BH158&lt;&gt;"",BP158&lt;&gt;""),(BH158-BP158)/BP158,""),"—")</f>
        <v/>
      </c>
      <c r="BU158" s="29">
        <f>IFERROR(IF(AND(BK158&lt;&gt;"",BP158&lt;&gt;""),(BP158-BK158)/BK158,""),"—")</f>
        <v/>
      </c>
    </row>
    <row r="159">
      <c r="AK159" s="14">
        <f>IFERROR(IF(AND(AG159&lt;&gt;"",AH159&lt;&gt;""),AG159*AH159,IF(AI159&lt;&gt;"",AI159,IF(AJ159&lt;&gt;"",AJ159*43560,""))),"ERROR")</f>
        <v/>
      </c>
      <c r="AL159" s="15">
        <f>IFERROR(IF(AK159&lt;&gt;"",AK159/43560,""),"—")</f>
        <v/>
      </c>
      <c r="AN159" s="14">
        <f>IFERROR(IF(AL159="","",IF(AL159&lt;2,"Residential (&lt;2ac)",IF(AL159&lt;10,"Small Rural (2-10ac)",IF(AL159&lt;40,"Rural (10-40ac)",IF(AL159&lt;100,"Farm/Estate (40-100ac)","Large Farm (100+ac)"))))),"—")</f>
        <v/>
      </c>
      <c r="AZ159" s="21" t="n"/>
      <c r="BF159" s="21" t="n"/>
      <c r="BG159" s="21" t="n"/>
      <c r="BH159" s="22">
        <f>IFERROR(IF(AND(BF159&lt;&gt;"",BG159&lt;&gt;""),AVERAGE(BF159,BG159),""),"—")</f>
        <v/>
      </c>
      <c r="BK159" s="21" t="n"/>
      <c r="BM159" s="21" t="n"/>
      <c r="BN159" s="28">
        <f>IFERROR(IF(AND(BK159&lt;&gt;"",BM159&lt;&gt;""),IF(BM159&lt;BK159,1,0),""),"")</f>
        <v/>
      </c>
      <c r="BP159" s="21" t="n"/>
      <c r="BS159" s="29">
        <f>IFERROR(IF(AND(BH159&lt;&gt;"",BK159&lt;&gt;""),(BH159-BK159)/BK159,""),"—")</f>
        <v/>
      </c>
      <c r="BT159" s="29">
        <f>IFERROR(IF(AND(BH159&lt;&gt;"",BP159&lt;&gt;""),(BH159-BP159)/BP159,""),"—")</f>
        <v/>
      </c>
      <c r="BU159" s="29">
        <f>IFERROR(IF(AND(BK159&lt;&gt;"",BP159&lt;&gt;""),(BP159-BK159)/BK159,""),"—")</f>
        <v/>
      </c>
    </row>
    <row r="160">
      <c r="AK160" s="14">
        <f>IFERROR(IF(AND(AG160&lt;&gt;"",AH160&lt;&gt;""),AG160*AH160,IF(AI160&lt;&gt;"",AI160,IF(AJ160&lt;&gt;"",AJ160*43560,""))),"ERROR")</f>
        <v/>
      </c>
      <c r="AL160" s="15">
        <f>IFERROR(IF(AK160&lt;&gt;"",AK160/43560,""),"—")</f>
        <v/>
      </c>
      <c r="AN160" s="14">
        <f>IFERROR(IF(AL160="","",IF(AL160&lt;2,"Residential (&lt;2ac)",IF(AL160&lt;10,"Small Rural (2-10ac)",IF(AL160&lt;40,"Rural (10-40ac)",IF(AL160&lt;100,"Farm/Estate (40-100ac)","Large Farm (100+ac)"))))),"—")</f>
        <v/>
      </c>
      <c r="AZ160" s="21" t="n"/>
      <c r="BF160" s="21" t="n"/>
      <c r="BG160" s="21" t="n"/>
      <c r="BH160" s="22">
        <f>IFERROR(IF(AND(BF160&lt;&gt;"",BG160&lt;&gt;""),AVERAGE(BF160,BG160),""),"—")</f>
        <v/>
      </c>
      <c r="BK160" s="21" t="n"/>
      <c r="BM160" s="21" t="n"/>
      <c r="BN160" s="28">
        <f>IFERROR(IF(AND(BK160&lt;&gt;"",BM160&lt;&gt;""),IF(BM160&lt;BK160,1,0),""),"")</f>
        <v/>
      </c>
      <c r="BP160" s="21" t="n"/>
      <c r="BS160" s="29">
        <f>IFERROR(IF(AND(BH160&lt;&gt;"",BK160&lt;&gt;""),(BH160-BK160)/BK160,""),"—")</f>
        <v/>
      </c>
      <c r="BT160" s="29">
        <f>IFERROR(IF(AND(BH160&lt;&gt;"",BP160&lt;&gt;""),(BH160-BP160)/BP160,""),"—")</f>
        <v/>
      </c>
      <c r="BU160" s="29">
        <f>IFERROR(IF(AND(BK160&lt;&gt;"",BP160&lt;&gt;""),(BP160-BK160)/BK160,""),"—")</f>
        <v/>
      </c>
    </row>
    <row r="161">
      <c r="AK161" s="14">
        <f>IFERROR(IF(AND(AG161&lt;&gt;"",AH161&lt;&gt;""),AG161*AH161,IF(AI161&lt;&gt;"",AI161,IF(AJ161&lt;&gt;"",AJ161*43560,""))),"ERROR")</f>
        <v/>
      </c>
      <c r="AL161" s="15">
        <f>IFERROR(IF(AK161&lt;&gt;"",AK161/43560,""),"—")</f>
        <v/>
      </c>
      <c r="AN161" s="14">
        <f>IFERROR(IF(AL161="","",IF(AL161&lt;2,"Residential (&lt;2ac)",IF(AL161&lt;10,"Small Rural (2-10ac)",IF(AL161&lt;40,"Rural (10-40ac)",IF(AL161&lt;100,"Farm/Estate (40-100ac)","Large Farm (100+ac)"))))),"—")</f>
        <v/>
      </c>
      <c r="AZ161" s="21" t="n"/>
      <c r="BF161" s="21" t="n"/>
      <c r="BG161" s="21" t="n"/>
      <c r="BH161" s="22">
        <f>IFERROR(IF(AND(BF161&lt;&gt;"",BG161&lt;&gt;""),AVERAGE(BF161,BG161),""),"—")</f>
        <v/>
      </c>
      <c r="BK161" s="21" t="n"/>
      <c r="BM161" s="21" t="n"/>
      <c r="BN161" s="28">
        <f>IFERROR(IF(AND(BK161&lt;&gt;"",BM161&lt;&gt;""),IF(BM161&lt;BK161,1,0),""),"")</f>
        <v/>
      </c>
      <c r="BP161" s="21" t="n"/>
      <c r="BS161" s="29">
        <f>IFERROR(IF(AND(BH161&lt;&gt;"",BK161&lt;&gt;""),(BH161-BK161)/BK161,""),"—")</f>
        <v/>
      </c>
      <c r="BT161" s="29">
        <f>IFERROR(IF(AND(BH161&lt;&gt;"",BP161&lt;&gt;""),(BH161-BP161)/BP161,""),"—")</f>
        <v/>
      </c>
      <c r="BU161" s="29">
        <f>IFERROR(IF(AND(BK161&lt;&gt;"",BP161&lt;&gt;""),(BP161-BK161)/BK161,""),"—")</f>
        <v/>
      </c>
    </row>
    <row r="162">
      <c r="AK162" s="14">
        <f>IFERROR(IF(AND(AG162&lt;&gt;"",AH162&lt;&gt;""),AG162*AH162,IF(AI162&lt;&gt;"",AI162,IF(AJ162&lt;&gt;"",AJ162*43560,""))),"ERROR")</f>
        <v/>
      </c>
      <c r="AL162" s="15">
        <f>IFERROR(IF(AK162&lt;&gt;"",AK162/43560,""),"—")</f>
        <v/>
      </c>
      <c r="AN162" s="14">
        <f>IFERROR(IF(AL162="","",IF(AL162&lt;2,"Residential (&lt;2ac)",IF(AL162&lt;10,"Small Rural (2-10ac)",IF(AL162&lt;40,"Rural (10-40ac)",IF(AL162&lt;100,"Farm/Estate (40-100ac)","Large Farm (100+ac)"))))),"—")</f>
        <v/>
      </c>
      <c r="AZ162" s="21" t="n"/>
      <c r="BF162" s="21" t="n"/>
      <c r="BG162" s="21" t="n"/>
      <c r="BH162" s="22">
        <f>IFERROR(IF(AND(BF162&lt;&gt;"",BG162&lt;&gt;""),AVERAGE(BF162,BG162),""),"—")</f>
        <v/>
      </c>
      <c r="BK162" s="21" t="n"/>
      <c r="BM162" s="21" t="n"/>
      <c r="BN162" s="28">
        <f>IFERROR(IF(AND(BK162&lt;&gt;"",BM162&lt;&gt;""),IF(BM162&lt;BK162,1,0),""),"")</f>
        <v/>
      </c>
      <c r="BP162" s="21" t="n"/>
      <c r="BS162" s="29">
        <f>IFERROR(IF(AND(BH162&lt;&gt;"",BK162&lt;&gt;""),(BH162-BK162)/BK162,""),"—")</f>
        <v/>
      </c>
      <c r="BT162" s="29">
        <f>IFERROR(IF(AND(BH162&lt;&gt;"",BP162&lt;&gt;""),(BH162-BP162)/BP162,""),"—")</f>
        <v/>
      </c>
      <c r="BU162" s="29">
        <f>IFERROR(IF(AND(BK162&lt;&gt;"",BP162&lt;&gt;""),(BP162-BK162)/BK162,""),"—")</f>
        <v/>
      </c>
    </row>
    <row r="163">
      <c r="AK163" s="14">
        <f>IFERROR(IF(AND(AG163&lt;&gt;"",AH163&lt;&gt;""),AG163*AH163,IF(AI163&lt;&gt;"",AI163,IF(AJ163&lt;&gt;"",AJ163*43560,""))),"ERROR")</f>
        <v/>
      </c>
      <c r="AL163" s="15">
        <f>IFERROR(IF(AK163&lt;&gt;"",AK163/43560,""),"—")</f>
        <v/>
      </c>
      <c r="AN163" s="14">
        <f>IFERROR(IF(AL163="","",IF(AL163&lt;2,"Residential (&lt;2ac)",IF(AL163&lt;10,"Small Rural (2-10ac)",IF(AL163&lt;40,"Rural (10-40ac)",IF(AL163&lt;100,"Farm/Estate (40-100ac)","Large Farm (100+ac)"))))),"—")</f>
        <v/>
      </c>
      <c r="AZ163" s="21" t="n"/>
      <c r="BF163" s="21" t="n"/>
      <c r="BG163" s="21" t="n"/>
      <c r="BH163" s="22">
        <f>IFERROR(IF(AND(BF163&lt;&gt;"",BG163&lt;&gt;""),AVERAGE(BF163,BG163),""),"—")</f>
        <v/>
      </c>
      <c r="BK163" s="21" t="n"/>
      <c r="BM163" s="21" t="n"/>
      <c r="BN163" s="28">
        <f>IFERROR(IF(AND(BK163&lt;&gt;"",BM163&lt;&gt;""),IF(BM163&lt;BK163,1,0),""),"")</f>
        <v/>
      </c>
      <c r="BP163" s="21" t="n"/>
      <c r="BS163" s="29">
        <f>IFERROR(IF(AND(BH163&lt;&gt;"",BK163&lt;&gt;""),(BH163-BK163)/BK163,""),"—")</f>
        <v/>
      </c>
      <c r="BT163" s="29">
        <f>IFERROR(IF(AND(BH163&lt;&gt;"",BP163&lt;&gt;""),(BH163-BP163)/BP163,""),"—")</f>
        <v/>
      </c>
      <c r="BU163" s="29">
        <f>IFERROR(IF(AND(BK163&lt;&gt;"",BP163&lt;&gt;""),(BP163-BK163)/BK163,""),"—")</f>
        <v/>
      </c>
    </row>
    <row r="164">
      <c r="AK164" s="14">
        <f>IFERROR(IF(AND(AG164&lt;&gt;"",AH164&lt;&gt;""),AG164*AH164,IF(AI164&lt;&gt;"",AI164,IF(AJ164&lt;&gt;"",AJ164*43560,""))),"ERROR")</f>
        <v/>
      </c>
      <c r="AL164" s="15">
        <f>IFERROR(IF(AK164&lt;&gt;"",AK164/43560,""),"—")</f>
        <v/>
      </c>
      <c r="AN164" s="14">
        <f>IFERROR(IF(AL164="","",IF(AL164&lt;2,"Residential (&lt;2ac)",IF(AL164&lt;10,"Small Rural (2-10ac)",IF(AL164&lt;40,"Rural (10-40ac)",IF(AL164&lt;100,"Farm/Estate (40-100ac)","Large Farm (100+ac)"))))),"—")</f>
        <v/>
      </c>
      <c r="AZ164" s="21" t="n"/>
      <c r="BF164" s="21" t="n"/>
      <c r="BG164" s="21" t="n"/>
      <c r="BH164" s="22">
        <f>IFERROR(IF(AND(BF164&lt;&gt;"",BG164&lt;&gt;""),AVERAGE(BF164,BG164),""),"—")</f>
        <v/>
      </c>
      <c r="BK164" s="21" t="n"/>
      <c r="BM164" s="21" t="n"/>
      <c r="BN164" s="28">
        <f>IFERROR(IF(AND(BK164&lt;&gt;"",BM164&lt;&gt;""),IF(BM164&lt;BK164,1,0),""),"")</f>
        <v/>
      </c>
      <c r="BP164" s="21" t="n"/>
      <c r="BS164" s="29">
        <f>IFERROR(IF(AND(BH164&lt;&gt;"",BK164&lt;&gt;""),(BH164-BK164)/BK164,""),"—")</f>
        <v/>
      </c>
      <c r="BT164" s="29">
        <f>IFERROR(IF(AND(BH164&lt;&gt;"",BP164&lt;&gt;""),(BH164-BP164)/BP164,""),"—")</f>
        <v/>
      </c>
      <c r="BU164" s="29">
        <f>IFERROR(IF(AND(BK164&lt;&gt;"",BP164&lt;&gt;""),(BP164-BK164)/BK164,""),"—")</f>
        <v/>
      </c>
    </row>
    <row r="165">
      <c r="AK165" s="14">
        <f>IFERROR(IF(AND(AG165&lt;&gt;"",AH165&lt;&gt;""),AG165*AH165,IF(AI165&lt;&gt;"",AI165,IF(AJ165&lt;&gt;"",AJ165*43560,""))),"ERROR")</f>
        <v/>
      </c>
      <c r="AL165" s="15">
        <f>IFERROR(IF(AK165&lt;&gt;"",AK165/43560,""),"—")</f>
        <v/>
      </c>
      <c r="AN165" s="14">
        <f>IFERROR(IF(AL165="","",IF(AL165&lt;2,"Residential (&lt;2ac)",IF(AL165&lt;10,"Small Rural (2-10ac)",IF(AL165&lt;40,"Rural (10-40ac)",IF(AL165&lt;100,"Farm/Estate (40-100ac)","Large Farm (100+ac)"))))),"—")</f>
        <v/>
      </c>
      <c r="AZ165" s="21" t="n"/>
      <c r="BF165" s="21" t="n"/>
      <c r="BG165" s="21" t="n"/>
      <c r="BH165" s="22">
        <f>IFERROR(IF(AND(BF165&lt;&gt;"",BG165&lt;&gt;""),AVERAGE(BF165,BG165),""),"—")</f>
        <v/>
      </c>
      <c r="BK165" s="21" t="n"/>
      <c r="BM165" s="21" t="n"/>
      <c r="BN165" s="28">
        <f>IFERROR(IF(AND(BK165&lt;&gt;"",BM165&lt;&gt;""),IF(BM165&lt;BK165,1,0),""),"")</f>
        <v/>
      </c>
      <c r="BP165" s="21" t="n"/>
      <c r="BS165" s="29">
        <f>IFERROR(IF(AND(BH165&lt;&gt;"",BK165&lt;&gt;""),(BH165-BK165)/BK165,""),"—")</f>
        <v/>
      </c>
      <c r="BT165" s="29">
        <f>IFERROR(IF(AND(BH165&lt;&gt;"",BP165&lt;&gt;""),(BH165-BP165)/BP165,""),"—")</f>
        <v/>
      </c>
      <c r="BU165" s="29">
        <f>IFERROR(IF(AND(BK165&lt;&gt;"",BP165&lt;&gt;""),(BP165-BK165)/BK165,""),"—")</f>
        <v/>
      </c>
    </row>
    <row r="166">
      <c r="AK166" s="14">
        <f>IFERROR(IF(AND(AG166&lt;&gt;"",AH166&lt;&gt;""),AG166*AH166,IF(AI166&lt;&gt;"",AI166,IF(AJ166&lt;&gt;"",AJ166*43560,""))),"ERROR")</f>
        <v/>
      </c>
      <c r="AL166" s="15">
        <f>IFERROR(IF(AK166&lt;&gt;"",AK166/43560,""),"—")</f>
        <v/>
      </c>
      <c r="AN166" s="14">
        <f>IFERROR(IF(AL166="","",IF(AL166&lt;2,"Residential (&lt;2ac)",IF(AL166&lt;10,"Small Rural (2-10ac)",IF(AL166&lt;40,"Rural (10-40ac)",IF(AL166&lt;100,"Farm/Estate (40-100ac)","Large Farm (100+ac)"))))),"—")</f>
        <v/>
      </c>
      <c r="AZ166" s="21" t="n"/>
      <c r="BF166" s="21" t="n"/>
      <c r="BG166" s="21" t="n"/>
      <c r="BH166" s="22">
        <f>IFERROR(IF(AND(BF166&lt;&gt;"",BG166&lt;&gt;""),AVERAGE(BF166,BG166),""),"—")</f>
        <v/>
      </c>
      <c r="BK166" s="21" t="n"/>
      <c r="BM166" s="21" t="n"/>
      <c r="BN166" s="28">
        <f>IFERROR(IF(AND(BK166&lt;&gt;"",BM166&lt;&gt;""),IF(BM166&lt;BK166,1,0),""),"")</f>
        <v/>
      </c>
      <c r="BP166" s="21" t="n"/>
      <c r="BS166" s="29">
        <f>IFERROR(IF(AND(BH166&lt;&gt;"",BK166&lt;&gt;""),(BH166-BK166)/BK166,""),"—")</f>
        <v/>
      </c>
      <c r="BT166" s="29">
        <f>IFERROR(IF(AND(BH166&lt;&gt;"",BP166&lt;&gt;""),(BH166-BP166)/BP166,""),"—")</f>
        <v/>
      </c>
      <c r="BU166" s="29">
        <f>IFERROR(IF(AND(BK166&lt;&gt;"",BP166&lt;&gt;""),(BP166-BK166)/BK166,""),"—")</f>
        <v/>
      </c>
    </row>
    <row r="167">
      <c r="AK167" s="14">
        <f>IFERROR(IF(AND(AG167&lt;&gt;"",AH167&lt;&gt;""),AG167*AH167,IF(AI167&lt;&gt;"",AI167,IF(AJ167&lt;&gt;"",AJ167*43560,""))),"ERROR")</f>
        <v/>
      </c>
      <c r="AL167" s="15">
        <f>IFERROR(IF(AK167&lt;&gt;"",AK167/43560,""),"—")</f>
        <v/>
      </c>
      <c r="AN167" s="14">
        <f>IFERROR(IF(AL167="","",IF(AL167&lt;2,"Residential (&lt;2ac)",IF(AL167&lt;10,"Small Rural (2-10ac)",IF(AL167&lt;40,"Rural (10-40ac)",IF(AL167&lt;100,"Farm/Estate (40-100ac)","Large Farm (100+ac)"))))),"—")</f>
        <v/>
      </c>
      <c r="AZ167" s="21" t="n"/>
      <c r="BF167" s="21" t="n"/>
      <c r="BG167" s="21" t="n"/>
      <c r="BH167" s="22">
        <f>IFERROR(IF(AND(BF167&lt;&gt;"",BG167&lt;&gt;""),AVERAGE(BF167,BG167),""),"—")</f>
        <v/>
      </c>
      <c r="BK167" s="21" t="n"/>
      <c r="BM167" s="21" t="n"/>
      <c r="BN167" s="28">
        <f>IFERROR(IF(AND(BK167&lt;&gt;"",BM167&lt;&gt;""),IF(BM167&lt;BK167,1,0),""),"")</f>
        <v/>
      </c>
      <c r="BP167" s="21" t="n"/>
      <c r="BS167" s="29">
        <f>IFERROR(IF(AND(BH167&lt;&gt;"",BK167&lt;&gt;""),(BH167-BK167)/BK167,""),"—")</f>
        <v/>
      </c>
      <c r="BT167" s="29">
        <f>IFERROR(IF(AND(BH167&lt;&gt;"",BP167&lt;&gt;""),(BH167-BP167)/BP167,""),"—")</f>
        <v/>
      </c>
      <c r="BU167" s="29">
        <f>IFERROR(IF(AND(BK167&lt;&gt;"",BP167&lt;&gt;""),(BP167-BK167)/BK167,""),"—")</f>
        <v/>
      </c>
    </row>
    <row r="168">
      <c r="AK168" s="14">
        <f>IFERROR(IF(AND(AG168&lt;&gt;"",AH168&lt;&gt;""),AG168*AH168,IF(AI168&lt;&gt;"",AI168,IF(AJ168&lt;&gt;"",AJ168*43560,""))),"ERROR")</f>
        <v/>
      </c>
      <c r="AL168" s="15">
        <f>IFERROR(IF(AK168&lt;&gt;"",AK168/43560,""),"—")</f>
        <v/>
      </c>
      <c r="AN168" s="14">
        <f>IFERROR(IF(AL168="","",IF(AL168&lt;2,"Residential (&lt;2ac)",IF(AL168&lt;10,"Small Rural (2-10ac)",IF(AL168&lt;40,"Rural (10-40ac)",IF(AL168&lt;100,"Farm/Estate (40-100ac)","Large Farm (100+ac)"))))),"—")</f>
        <v/>
      </c>
      <c r="AZ168" s="21" t="n"/>
      <c r="BF168" s="21" t="n"/>
      <c r="BG168" s="21" t="n"/>
      <c r="BH168" s="22">
        <f>IFERROR(IF(AND(BF168&lt;&gt;"",BG168&lt;&gt;""),AVERAGE(BF168,BG168),""),"—")</f>
        <v/>
      </c>
      <c r="BK168" s="21" t="n"/>
      <c r="BM168" s="21" t="n"/>
      <c r="BN168" s="28">
        <f>IFERROR(IF(AND(BK168&lt;&gt;"",BM168&lt;&gt;""),IF(BM168&lt;BK168,1,0),""),"")</f>
        <v/>
      </c>
      <c r="BP168" s="21" t="n"/>
      <c r="BS168" s="29">
        <f>IFERROR(IF(AND(BH168&lt;&gt;"",BK168&lt;&gt;""),(BH168-BK168)/BK168,""),"—")</f>
        <v/>
      </c>
      <c r="BT168" s="29">
        <f>IFERROR(IF(AND(BH168&lt;&gt;"",BP168&lt;&gt;""),(BH168-BP168)/BP168,""),"—")</f>
        <v/>
      </c>
      <c r="BU168" s="29">
        <f>IFERROR(IF(AND(BK168&lt;&gt;"",BP168&lt;&gt;""),(BP168-BK168)/BK168,""),"—")</f>
        <v/>
      </c>
    </row>
    <row r="169">
      <c r="AK169" s="14">
        <f>IFERROR(IF(AND(AG169&lt;&gt;"",AH169&lt;&gt;""),AG169*AH169,IF(AI169&lt;&gt;"",AI169,IF(AJ169&lt;&gt;"",AJ169*43560,""))),"ERROR")</f>
        <v/>
      </c>
      <c r="AL169" s="15">
        <f>IFERROR(IF(AK169&lt;&gt;"",AK169/43560,""),"—")</f>
        <v/>
      </c>
      <c r="AN169" s="14">
        <f>IFERROR(IF(AL169="","",IF(AL169&lt;2,"Residential (&lt;2ac)",IF(AL169&lt;10,"Small Rural (2-10ac)",IF(AL169&lt;40,"Rural (10-40ac)",IF(AL169&lt;100,"Farm/Estate (40-100ac)","Large Farm (100+ac)"))))),"—")</f>
        <v/>
      </c>
      <c r="AZ169" s="21" t="n"/>
      <c r="BF169" s="21" t="n"/>
      <c r="BG169" s="21" t="n"/>
      <c r="BH169" s="22">
        <f>IFERROR(IF(AND(BF169&lt;&gt;"",BG169&lt;&gt;""),AVERAGE(BF169,BG169),""),"—")</f>
        <v/>
      </c>
      <c r="BK169" s="21" t="n"/>
      <c r="BM169" s="21" t="n"/>
      <c r="BN169" s="28">
        <f>IFERROR(IF(AND(BK169&lt;&gt;"",BM169&lt;&gt;""),IF(BM169&lt;BK169,1,0),""),"")</f>
        <v/>
      </c>
      <c r="BP169" s="21" t="n"/>
      <c r="BS169" s="29">
        <f>IFERROR(IF(AND(BH169&lt;&gt;"",BK169&lt;&gt;""),(BH169-BK169)/BK169,""),"—")</f>
        <v/>
      </c>
      <c r="BT169" s="29">
        <f>IFERROR(IF(AND(BH169&lt;&gt;"",BP169&lt;&gt;""),(BH169-BP169)/BP169,""),"—")</f>
        <v/>
      </c>
      <c r="BU169" s="29">
        <f>IFERROR(IF(AND(BK169&lt;&gt;"",BP169&lt;&gt;""),(BP169-BK169)/BK169,""),"—")</f>
        <v/>
      </c>
    </row>
    <row r="170">
      <c r="AK170" s="14">
        <f>IFERROR(IF(AND(AG170&lt;&gt;"",AH170&lt;&gt;""),AG170*AH170,IF(AI170&lt;&gt;"",AI170,IF(AJ170&lt;&gt;"",AJ170*43560,""))),"ERROR")</f>
        <v/>
      </c>
      <c r="AL170" s="15">
        <f>IFERROR(IF(AK170&lt;&gt;"",AK170/43560,""),"—")</f>
        <v/>
      </c>
      <c r="AN170" s="14">
        <f>IFERROR(IF(AL170="","",IF(AL170&lt;2,"Residential (&lt;2ac)",IF(AL170&lt;10,"Small Rural (2-10ac)",IF(AL170&lt;40,"Rural (10-40ac)",IF(AL170&lt;100,"Farm/Estate (40-100ac)","Large Farm (100+ac)"))))),"—")</f>
        <v/>
      </c>
      <c r="AZ170" s="21" t="n"/>
      <c r="BF170" s="21" t="n"/>
      <c r="BG170" s="21" t="n"/>
      <c r="BH170" s="22">
        <f>IFERROR(IF(AND(BF170&lt;&gt;"",BG170&lt;&gt;""),AVERAGE(BF170,BG170),""),"—")</f>
        <v/>
      </c>
      <c r="BK170" s="21" t="n"/>
      <c r="BM170" s="21" t="n"/>
      <c r="BN170" s="28">
        <f>IFERROR(IF(AND(BK170&lt;&gt;"",BM170&lt;&gt;""),IF(BM170&lt;BK170,1,0),""),"")</f>
        <v/>
      </c>
      <c r="BP170" s="21" t="n"/>
      <c r="BS170" s="29">
        <f>IFERROR(IF(AND(BH170&lt;&gt;"",BK170&lt;&gt;""),(BH170-BK170)/BK170,""),"—")</f>
        <v/>
      </c>
      <c r="BT170" s="29">
        <f>IFERROR(IF(AND(BH170&lt;&gt;"",BP170&lt;&gt;""),(BH170-BP170)/BP170,""),"—")</f>
        <v/>
      </c>
      <c r="BU170" s="29">
        <f>IFERROR(IF(AND(BK170&lt;&gt;"",BP170&lt;&gt;""),(BP170-BK170)/BK170,""),"—")</f>
        <v/>
      </c>
    </row>
    <row r="171">
      <c r="AK171" s="14">
        <f>IFERROR(IF(AND(AG171&lt;&gt;"",AH171&lt;&gt;""),AG171*AH171,IF(AI171&lt;&gt;"",AI171,IF(AJ171&lt;&gt;"",AJ171*43560,""))),"ERROR")</f>
        <v/>
      </c>
      <c r="AL171" s="15">
        <f>IFERROR(IF(AK171&lt;&gt;"",AK171/43560,""),"—")</f>
        <v/>
      </c>
      <c r="AN171" s="14">
        <f>IFERROR(IF(AL171="","",IF(AL171&lt;2,"Residential (&lt;2ac)",IF(AL171&lt;10,"Small Rural (2-10ac)",IF(AL171&lt;40,"Rural (10-40ac)",IF(AL171&lt;100,"Farm/Estate (40-100ac)","Large Farm (100+ac)"))))),"—")</f>
        <v/>
      </c>
      <c r="AZ171" s="21" t="n"/>
      <c r="BF171" s="21" t="n"/>
      <c r="BG171" s="21" t="n"/>
      <c r="BH171" s="22">
        <f>IFERROR(IF(AND(BF171&lt;&gt;"",BG171&lt;&gt;""),AVERAGE(BF171,BG171),""),"—")</f>
        <v/>
      </c>
      <c r="BK171" s="21" t="n"/>
      <c r="BM171" s="21" t="n"/>
      <c r="BN171" s="28">
        <f>IFERROR(IF(AND(BK171&lt;&gt;"",BM171&lt;&gt;""),IF(BM171&lt;BK171,1,0),""),"")</f>
        <v/>
      </c>
      <c r="BP171" s="21" t="n"/>
      <c r="BS171" s="29">
        <f>IFERROR(IF(AND(BH171&lt;&gt;"",BK171&lt;&gt;""),(BH171-BK171)/BK171,""),"—")</f>
        <v/>
      </c>
      <c r="BT171" s="29">
        <f>IFERROR(IF(AND(BH171&lt;&gt;"",BP171&lt;&gt;""),(BH171-BP171)/BP171,""),"—")</f>
        <v/>
      </c>
      <c r="BU171" s="29">
        <f>IFERROR(IF(AND(BK171&lt;&gt;"",BP171&lt;&gt;""),(BP171-BK171)/BK171,""),"—")</f>
        <v/>
      </c>
    </row>
    <row r="172">
      <c r="AK172" s="14">
        <f>IFERROR(IF(AND(AG172&lt;&gt;"",AH172&lt;&gt;""),AG172*AH172,IF(AI172&lt;&gt;"",AI172,IF(AJ172&lt;&gt;"",AJ172*43560,""))),"ERROR")</f>
        <v/>
      </c>
      <c r="AL172" s="15">
        <f>IFERROR(IF(AK172&lt;&gt;"",AK172/43560,""),"—")</f>
        <v/>
      </c>
      <c r="AN172" s="14">
        <f>IFERROR(IF(AL172="","",IF(AL172&lt;2,"Residential (&lt;2ac)",IF(AL172&lt;10,"Small Rural (2-10ac)",IF(AL172&lt;40,"Rural (10-40ac)",IF(AL172&lt;100,"Farm/Estate (40-100ac)","Large Farm (100+ac)"))))),"—")</f>
        <v/>
      </c>
      <c r="AZ172" s="21" t="n"/>
      <c r="BF172" s="21" t="n"/>
      <c r="BG172" s="21" t="n"/>
      <c r="BH172" s="22">
        <f>IFERROR(IF(AND(BF172&lt;&gt;"",BG172&lt;&gt;""),AVERAGE(BF172,BG172),""),"—")</f>
        <v/>
      </c>
      <c r="BK172" s="21" t="n"/>
      <c r="BM172" s="21" t="n"/>
      <c r="BN172" s="28">
        <f>IFERROR(IF(AND(BK172&lt;&gt;"",BM172&lt;&gt;""),IF(BM172&lt;BK172,1,0),""),"")</f>
        <v/>
      </c>
      <c r="BP172" s="21" t="n"/>
      <c r="BS172" s="29">
        <f>IFERROR(IF(AND(BH172&lt;&gt;"",BK172&lt;&gt;""),(BH172-BK172)/BK172,""),"—")</f>
        <v/>
      </c>
      <c r="BT172" s="29">
        <f>IFERROR(IF(AND(BH172&lt;&gt;"",BP172&lt;&gt;""),(BH172-BP172)/BP172,""),"—")</f>
        <v/>
      </c>
      <c r="BU172" s="29">
        <f>IFERROR(IF(AND(BK172&lt;&gt;"",BP172&lt;&gt;""),(BP172-BK172)/BK172,""),"—")</f>
        <v/>
      </c>
    </row>
    <row r="173">
      <c r="AK173" s="14">
        <f>IFERROR(IF(AND(AG173&lt;&gt;"",AH173&lt;&gt;""),AG173*AH173,IF(AI173&lt;&gt;"",AI173,IF(AJ173&lt;&gt;"",AJ173*43560,""))),"ERROR")</f>
        <v/>
      </c>
      <c r="AL173" s="15">
        <f>IFERROR(IF(AK173&lt;&gt;"",AK173/43560,""),"—")</f>
        <v/>
      </c>
      <c r="AN173" s="14">
        <f>IFERROR(IF(AL173="","",IF(AL173&lt;2,"Residential (&lt;2ac)",IF(AL173&lt;10,"Small Rural (2-10ac)",IF(AL173&lt;40,"Rural (10-40ac)",IF(AL173&lt;100,"Farm/Estate (40-100ac)","Large Farm (100+ac)"))))),"—")</f>
        <v/>
      </c>
      <c r="AZ173" s="21" t="n"/>
      <c r="BF173" s="21" t="n"/>
      <c r="BG173" s="21" t="n"/>
      <c r="BH173" s="22">
        <f>IFERROR(IF(AND(BF173&lt;&gt;"",BG173&lt;&gt;""),AVERAGE(BF173,BG173),""),"—")</f>
        <v/>
      </c>
      <c r="BK173" s="21" t="n"/>
      <c r="BM173" s="21" t="n"/>
      <c r="BN173" s="28">
        <f>IFERROR(IF(AND(BK173&lt;&gt;"",BM173&lt;&gt;""),IF(BM173&lt;BK173,1,0),""),"")</f>
        <v/>
      </c>
      <c r="BP173" s="21" t="n"/>
      <c r="BS173" s="29">
        <f>IFERROR(IF(AND(BH173&lt;&gt;"",BK173&lt;&gt;""),(BH173-BK173)/BK173,""),"—")</f>
        <v/>
      </c>
      <c r="BT173" s="29">
        <f>IFERROR(IF(AND(BH173&lt;&gt;"",BP173&lt;&gt;""),(BH173-BP173)/BP173,""),"—")</f>
        <v/>
      </c>
      <c r="BU173" s="29">
        <f>IFERROR(IF(AND(BK173&lt;&gt;"",BP173&lt;&gt;""),(BP173-BK173)/BK173,""),"—")</f>
        <v/>
      </c>
    </row>
    <row r="174">
      <c r="AK174" s="14">
        <f>IFERROR(IF(AND(AG174&lt;&gt;"",AH174&lt;&gt;""),AG174*AH174,IF(AI174&lt;&gt;"",AI174,IF(AJ174&lt;&gt;"",AJ174*43560,""))),"ERROR")</f>
        <v/>
      </c>
      <c r="AL174" s="15">
        <f>IFERROR(IF(AK174&lt;&gt;"",AK174/43560,""),"—")</f>
        <v/>
      </c>
      <c r="AN174" s="14">
        <f>IFERROR(IF(AL174="","",IF(AL174&lt;2,"Residential (&lt;2ac)",IF(AL174&lt;10,"Small Rural (2-10ac)",IF(AL174&lt;40,"Rural (10-40ac)",IF(AL174&lt;100,"Farm/Estate (40-100ac)","Large Farm (100+ac)"))))),"—")</f>
        <v/>
      </c>
      <c r="AZ174" s="21" t="n"/>
      <c r="BF174" s="21" t="n"/>
      <c r="BG174" s="21" t="n"/>
      <c r="BH174" s="22">
        <f>IFERROR(IF(AND(BF174&lt;&gt;"",BG174&lt;&gt;""),AVERAGE(BF174,BG174),""),"—")</f>
        <v/>
      </c>
      <c r="BK174" s="21" t="n"/>
      <c r="BM174" s="21" t="n"/>
      <c r="BN174" s="28">
        <f>IFERROR(IF(AND(BK174&lt;&gt;"",BM174&lt;&gt;""),IF(BM174&lt;BK174,1,0),""),"")</f>
        <v/>
      </c>
      <c r="BP174" s="21" t="n"/>
      <c r="BS174" s="29">
        <f>IFERROR(IF(AND(BH174&lt;&gt;"",BK174&lt;&gt;""),(BH174-BK174)/BK174,""),"—")</f>
        <v/>
      </c>
      <c r="BT174" s="29">
        <f>IFERROR(IF(AND(BH174&lt;&gt;"",BP174&lt;&gt;""),(BH174-BP174)/BP174,""),"—")</f>
        <v/>
      </c>
      <c r="BU174" s="29">
        <f>IFERROR(IF(AND(BK174&lt;&gt;"",BP174&lt;&gt;""),(BP174-BK174)/BK174,""),"—")</f>
        <v/>
      </c>
    </row>
    <row r="175">
      <c r="AK175" s="14">
        <f>IFERROR(IF(AND(AG175&lt;&gt;"",AH175&lt;&gt;""),AG175*AH175,IF(AI175&lt;&gt;"",AI175,IF(AJ175&lt;&gt;"",AJ175*43560,""))),"ERROR")</f>
        <v/>
      </c>
      <c r="AL175" s="15">
        <f>IFERROR(IF(AK175&lt;&gt;"",AK175/43560,""),"—")</f>
        <v/>
      </c>
      <c r="AN175" s="14">
        <f>IFERROR(IF(AL175="","",IF(AL175&lt;2,"Residential (&lt;2ac)",IF(AL175&lt;10,"Small Rural (2-10ac)",IF(AL175&lt;40,"Rural (10-40ac)",IF(AL175&lt;100,"Farm/Estate (40-100ac)","Large Farm (100+ac)"))))),"—")</f>
        <v/>
      </c>
      <c r="AZ175" s="21" t="n"/>
      <c r="BF175" s="21" t="n"/>
      <c r="BG175" s="21" t="n"/>
      <c r="BH175" s="22">
        <f>IFERROR(IF(AND(BF175&lt;&gt;"",BG175&lt;&gt;""),AVERAGE(BF175,BG175),""),"—")</f>
        <v/>
      </c>
      <c r="BK175" s="21" t="n"/>
      <c r="BM175" s="21" t="n"/>
      <c r="BN175" s="28">
        <f>IFERROR(IF(AND(BK175&lt;&gt;"",BM175&lt;&gt;""),IF(BM175&lt;BK175,1,0),""),"")</f>
        <v/>
      </c>
      <c r="BP175" s="21" t="n"/>
      <c r="BS175" s="29">
        <f>IFERROR(IF(AND(BH175&lt;&gt;"",BK175&lt;&gt;""),(BH175-BK175)/BK175,""),"—")</f>
        <v/>
      </c>
      <c r="BT175" s="29">
        <f>IFERROR(IF(AND(BH175&lt;&gt;"",BP175&lt;&gt;""),(BH175-BP175)/BP175,""),"—")</f>
        <v/>
      </c>
      <c r="BU175" s="29">
        <f>IFERROR(IF(AND(BK175&lt;&gt;"",BP175&lt;&gt;""),(BP175-BK175)/BK175,""),"—")</f>
        <v/>
      </c>
    </row>
    <row r="176">
      <c r="AK176" s="14">
        <f>IFERROR(IF(AND(AG176&lt;&gt;"",AH176&lt;&gt;""),AG176*AH176,IF(AI176&lt;&gt;"",AI176,IF(AJ176&lt;&gt;"",AJ176*43560,""))),"ERROR")</f>
        <v/>
      </c>
      <c r="AL176" s="15">
        <f>IFERROR(IF(AK176&lt;&gt;"",AK176/43560,""),"—")</f>
        <v/>
      </c>
      <c r="AN176" s="14">
        <f>IFERROR(IF(AL176="","",IF(AL176&lt;2,"Residential (&lt;2ac)",IF(AL176&lt;10,"Small Rural (2-10ac)",IF(AL176&lt;40,"Rural (10-40ac)",IF(AL176&lt;100,"Farm/Estate (40-100ac)","Large Farm (100+ac)"))))),"—")</f>
        <v/>
      </c>
      <c r="AZ176" s="21" t="n"/>
      <c r="BF176" s="21" t="n"/>
      <c r="BG176" s="21" t="n"/>
      <c r="BH176" s="22">
        <f>IFERROR(IF(AND(BF176&lt;&gt;"",BG176&lt;&gt;""),AVERAGE(BF176,BG176),""),"—")</f>
        <v/>
      </c>
      <c r="BK176" s="21" t="n"/>
      <c r="BM176" s="21" t="n"/>
      <c r="BN176" s="28">
        <f>IFERROR(IF(AND(BK176&lt;&gt;"",BM176&lt;&gt;""),IF(BM176&lt;BK176,1,0),""),"")</f>
        <v/>
      </c>
      <c r="BP176" s="21" t="n"/>
      <c r="BS176" s="29">
        <f>IFERROR(IF(AND(BH176&lt;&gt;"",BK176&lt;&gt;""),(BH176-BK176)/BK176,""),"—")</f>
        <v/>
      </c>
      <c r="BT176" s="29">
        <f>IFERROR(IF(AND(BH176&lt;&gt;"",BP176&lt;&gt;""),(BH176-BP176)/BP176,""),"—")</f>
        <v/>
      </c>
      <c r="BU176" s="29">
        <f>IFERROR(IF(AND(BK176&lt;&gt;"",BP176&lt;&gt;""),(BP176-BK176)/BK176,""),"—")</f>
        <v/>
      </c>
    </row>
    <row r="177">
      <c r="AK177" s="14">
        <f>IFERROR(IF(AND(AG177&lt;&gt;"",AH177&lt;&gt;""),AG177*AH177,IF(AI177&lt;&gt;"",AI177,IF(AJ177&lt;&gt;"",AJ177*43560,""))),"ERROR")</f>
        <v/>
      </c>
      <c r="AL177" s="15">
        <f>IFERROR(IF(AK177&lt;&gt;"",AK177/43560,""),"—")</f>
        <v/>
      </c>
      <c r="AN177" s="14">
        <f>IFERROR(IF(AL177="","",IF(AL177&lt;2,"Residential (&lt;2ac)",IF(AL177&lt;10,"Small Rural (2-10ac)",IF(AL177&lt;40,"Rural (10-40ac)",IF(AL177&lt;100,"Farm/Estate (40-100ac)","Large Farm (100+ac)"))))),"—")</f>
        <v/>
      </c>
      <c r="AZ177" s="21" t="n"/>
      <c r="BF177" s="21" t="n"/>
      <c r="BG177" s="21" t="n"/>
      <c r="BH177" s="22">
        <f>IFERROR(IF(AND(BF177&lt;&gt;"",BG177&lt;&gt;""),AVERAGE(BF177,BG177),""),"—")</f>
        <v/>
      </c>
      <c r="BK177" s="21" t="n"/>
      <c r="BM177" s="21" t="n"/>
      <c r="BN177" s="28">
        <f>IFERROR(IF(AND(BK177&lt;&gt;"",BM177&lt;&gt;""),IF(BM177&lt;BK177,1,0),""),"")</f>
        <v/>
      </c>
      <c r="BP177" s="21" t="n"/>
      <c r="BS177" s="29">
        <f>IFERROR(IF(AND(BH177&lt;&gt;"",BK177&lt;&gt;""),(BH177-BK177)/BK177,""),"—")</f>
        <v/>
      </c>
      <c r="BT177" s="29">
        <f>IFERROR(IF(AND(BH177&lt;&gt;"",BP177&lt;&gt;""),(BH177-BP177)/BP177,""),"—")</f>
        <v/>
      </c>
      <c r="BU177" s="29">
        <f>IFERROR(IF(AND(BK177&lt;&gt;"",BP177&lt;&gt;""),(BP177-BK177)/BK177,""),"—")</f>
        <v/>
      </c>
    </row>
    <row r="178">
      <c r="AK178" s="14">
        <f>IFERROR(IF(AND(AG178&lt;&gt;"",AH178&lt;&gt;""),AG178*AH178,IF(AI178&lt;&gt;"",AI178,IF(AJ178&lt;&gt;"",AJ178*43560,""))),"ERROR")</f>
        <v/>
      </c>
      <c r="AL178" s="15">
        <f>IFERROR(IF(AK178&lt;&gt;"",AK178/43560,""),"—")</f>
        <v/>
      </c>
      <c r="AN178" s="14">
        <f>IFERROR(IF(AL178="","",IF(AL178&lt;2,"Residential (&lt;2ac)",IF(AL178&lt;10,"Small Rural (2-10ac)",IF(AL178&lt;40,"Rural (10-40ac)",IF(AL178&lt;100,"Farm/Estate (40-100ac)","Large Farm (100+ac)"))))),"—")</f>
        <v/>
      </c>
      <c r="AZ178" s="21" t="n"/>
      <c r="BF178" s="21" t="n"/>
      <c r="BG178" s="21" t="n"/>
      <c r="BH178" s="22">
        <f>IFERROR(IF(AND(BF178&lt;&gt;"",BG178&lt;&gt;""),AVERAGE(BF178,BG178),""),"—")</f>
        <v/>
      </c>
      <c r="BK178" s="21" t="n"/>
      <c r="BM178" s="21" t="n"/>
      <c r="BN178" s="28">
        <f>IFERROR(IF(AND(BK178&lt;&gt;"",BM178&lt;&gt;""),IF(BM178&lt;BK178,1,0),""),"")</f>
        <v/>
      </c>
      <c r="BP178" s="21" t="n"/>
      <c r="BS178" s="29">
        <f>IFERROR(IF(AND(BH178&lt;&gt;"",BK178&lt;&gt;""),(BH178-BK178)/BK178,""),"—")</f>
        <v/>
      </c>
      <c r="BT178" s="29">
        <f>IFERROR(IF(AND(BH178&lt;&gt;"",BP178&lt;&gt;""),(BH178-BP178)/BP178,""),"—")</f>
        <v/>
      </c>
      <c r="BU178" s="29">
        <f>IFERROR(IF(AND(BK178&lt;&gt;"",BP178&lt;&gt;""),(BP178-BK178)/BK178,""),"—")</f>
        <v/>
      </c>
    </row>
    <row r="179">
      <c r="AK179" s="14">
        <f>IFERROR(IF(AND(AG179&lt;&gt;"",AH179&lt;&gt;""),AG179*AH179,IF(AI179&lt;&gt;"",AI179,IF(AJ179&lt;&gt;"",AJ179*43560,""))),"ERROR")</f>
        <v/>
      </c>
      <c r="AL179" s="15">
        <f>IFERROR(IF(AK179&lt;&gt;"",AK179/43560,""),"—")</f>
        <v/>
      </c>
      <c r="AN179" s="14">
        <f>IFERROR(IF(AL179="","",IF(AL179&lt;2,"Residential (&lt;2ac)",IF(AL179&lt;10,"Small Rural (2-10ac)",IF(AL179&lt;40,"Rural (10-40ac)",IF(AL179&lt;100,"Farm/Estate (40-100ac)","Large Farm (100+ac)"))))),"—")</f>
        <v/>
      </c>
      <c r="AZ179" s="21" t="n"/>
      <c r="BF179" s="21" t="n"/>
      <c r="BG179" s="21" t="n"/>
      <c r="BH179" s="22">
        <f>IFERROR(IF(AND(BF179&lt;&gt;"",BG179&lt;&gt;""),AVERAGE(BF179,BG179),""),"—")</f>
        <v/>
      </c>
      <c r="BK179" s="21" t="n"/>
      <c r="BM179" s="21" t="n"/>
      <c r="BN179" s="28">
        <f>IFERROR(IF(AND(BK179&lt;&gt;"",BM179&lt;&gt;""),IF(BM179&lt;BK179,1,0),""),"")</f>
        <v/>
      </c>
      <c r="BP179" s="21" t="n"/>
      <c r="BS179" s="29">
        <f>IFERROR(IF(AND(BH179&lt;&gt;"",BK179&lt;&gt;""),(BH179-BK179)/BK179,""),"—")</f>
        <v/>
      </c>
      <c r="BT179" s="29">
        <f>IFERROR(IF(AND(BH179&lt;&gt;"",BP179&lt;&gt;""),(BH179-BP179)/BP179,""),"—")</f>
        <v/>
      </c>
      <c r="BU179" s="29">
        <f>IFERROR(IF(AND(BK179&lt;&gt;"",BP179&lt;&gt;""),(BP179-BK179)/BK179,""),"—")</f>
        <v/>
      </c>
    </row>
    <row r="180">
      <c r="AK180" s="14">
        <f>IFERROR(IF(AND(AG180&lt;&gt;"",AH180&lt;&gt;""),AG180*AH180,IF(AI180&lt;&gt;"",AI180,IF(AJ180&lt;&gt;"",AJ180*43560,""))),"ERROR")</f>
        <v/>
      </c>
      <c r="AL180" s="15">
        <f>IFERROR(IF(AK180&lt;&gt;"",AK180/43560,""),"—")</f>
        <v/>
      </c>
      <c r="AN180" s="14">
        <f>IFERROR(IF(AL180="","",IF(AL180&lt;2,"Residential (&lt;2ac)",IF(AL180&lt;10,"Small Rural (2-10ac)",IF(AL180&lt;40,"Rural (10-40ac)",IF(AL180&lt;100,"Farm/Estate (40-100ac)","Large Farm (100+ac)"))))),"—")</f>
        <v/>
      </c>
      <c r="AZ180" s="21" t="n"/>
      <c r="BF180" s="21" t="n"/>
      <c r="BG180" s="21" t="n"/>
      <c r="BH180" s="22">
        <f>IFERROR(IF(AND(BF180&lt;&gt;"",BG180&lt;&gt;""),AVERAGE(BF180,BG180),""),"—")</f>
        <v/>
      </c>
      <c r="BK180" s="21" t="n"/>
      <c r="BM180" s="21" t="n"/>
      <c r="BN180" s="28">
        <f>IFERROR(IF(AND(BK180&lt;&gt;"",BM180&lt;&gt;""),IF(BM180&lt;BK180,1,0),""),"")</f>
        <v/>
      </c>
      <c r="BP180" s="21" t="n"/>
      <c r="BS180" s="29">
        <f>IFERROR(IF(AND(BH180&lt;&gt;"",BK180&lt;&gt;""),(BH180-BK180)/BK180,""),"—")</f>
        <v/>
      </c>
      <c r="BT180" s="29">
        <f>IFERROR(IF(AND(BH180&lt;&gt;"",BP180&lt;&gt;""),(BH180-BP180)/BP180,""),"—")</f>
        <v/>
      </c>
      <c r="BU180" s="29">
        <f>IFERROR(IF(AND(BK180&lt;&gt;"",BP180&lt;&gt;""),(BP180-BK180)/BK180,""),"—")</f>
        <v/>
      </c>
    </row>
    <row r="181">
      <c r="AK181" s="14">
        <f>IFERROR(IF(AND(AG181&lt;&gt;"",AH181&lt;&gt;""),AG181*AH181,IF(AI181&lt;&gt;"",AI181,IF(AJ181&lt;&gt;"",AJ181*43560,""))),"ERROR")</f>
        <v/>
      </c>
      <c r="AL181" s="15">
        <f>IFERROR(IF(AK181&lt;&gt;"",AK181/43560,""),"—")</f>
        <v/>
      </c>
      <c r="AN181" s="14">
        <f>IFERROR(IF(AL181="","",IF(AL181&lt;2,"Residential (&lt;2ac)",IF(AL181&lt;10,"Small Rural (2-10ac)",IF(AL181&lt;40,"Rural (10-40ac)",IF(AL181&lt;100,"Farm/Estate (40-100ac)","Large Farm (100+ac)"))))),"—")</f>
        <v/>
      </c>
      <c r="AZ181" s="21" t="n"/>
      <c r="BF181" s="21" t="n"/>
      <c r="BG181" s="21" t="n"/>
      <c r="BH181" s="22">
        <f>IFERROR(IF(AND(BF181&lt;&gt;"",BG181&lt;&gt;""),AVERAGE(BF181,BG181),""),"—")</f>
        <v/>
      </c>
      <c r="BK181" s="21" t="n"/>
      <c r="BM181" s="21" t="n"/>
      <c r="BN181" s="28">
        <f>IFERROR(IF(AND(BK181&lt;&gt;"",BM181&lt;&gt;""),IF(BM181&lt;BK181,1,0),""),"")</f>
        <v/>
      </c>
      <c r="BP181" s="21" t="n"/>
      <c r="BS181" s="29">
        <f>IFERROR(IF(AND(BH181&lt;&gt;"",BK181&lt;&gt;""),(BH181-BK181)/BK181,""),"—")</f>
        <v/>
      </c>
      <c r="BT181" s="29">
        <f>IFERROR(IF(AND(BH181&lt;&gt;"",BP181&lt;&gt;""),(BH181-BP181)/BP181,""),"—")</f>
        <v/>
      </c>
      <c r="BU181" s="29">
        <f>IFERROR(IF(AND(BK181&lt;&gt;"",BP181&lt;&gt;""),(BP181-BK181)/BK181,""),"—")</f>
        <v/>
      </c>
    </row>
    <row r="182">
      <c r="AK182" s="14">
        <f>IFERROR(IF(AND(AG182&lt;&gt;"",AH182&lt;&gt;""),AG182*AH182,IF(AI182&lt;&gt;"",AI182,IF(AJ182&lt;&gt;"",AJ182*43560,""))),"ERROR")</f>
        <v/>
      </c>
      <c r="AL182" s="15">
        <f>IFERROR(IF(AK182&lt;&gt;"",AK182/43560,""),"—")</f>
        <v/>
      </c>
      <c r="AN182" s="14">
        <f>IFERROR(IF(AL182="","",IF(AL182&lt;2,"Residential (&lt;2ac)",IF(AL182&lt;10,"Small Rural (2-10ac)",IF(AL182&lt;40,"Rural (10-40ac)",IF(AL182&lt;100,"Farm/Estate (40-100ac)","Large Farm (100+ac)"))))),"—")</f>
        <v/>
      </c>
      <c r="AZ182" s="21" t="n"/>
      <c r="BF182" s="21" t="n"/>
      <c r="BG182" s="21" t="n"/>
      <c r="BH182" s="22">
        <f>IFERROR(IF(AND(BF182&lt;&gt;"",BG182&lt;&gt;""),AVERAGE(BF182,BG182),""),"—")</f>
        <v/>
      </c>
      <c r="BK182" s="21" t="n"/>
      <c r="BM182" s="21" t="n"/>
      <c r="BN182" s="28">
        <f>IFERROR(IF(AND(BK182&lt;&gt;"",BM182&lt;&gt;""),IF(BM182&lt;BK182,1,0),""),"")</f>
        <v/>
      </c>
      <c r="BP182" s="21" t="n"/>
      <c r="BS182" s="29">
        <f>IFERROR(IF(AND(BH182&lt;&gt;"",BK182&lt;&gt;""),(BH182-BK182)/BK182,""),"—")</f>
        <v/>
      </c>
      <c r="BT182" s="29">
        <f>IFERROR(IF(AND(BH182&lt;&gt;"",BP182&lt;&gt;""),(BH182-BP182)/BP182,""),"—")</f>
        <v/>
      </c>
      <c r="BU182" s="29">
        <f>IFERROR(IF(AND(BK182&lt;&gt;"",BP182&lt;&gt;""),(BP182-BK182)/BK182,""),"—")</f>
        <v/>
      </c>
    </row>
    <row r="183">
      <c r="AK183" s="14">
        <f>IFERROR(IF(AND(AG183&lt;&gt;"",AH183&lt;&gt;""),AG183*AH183,IF(AI183&lt;&gt;"",AI183,IF(AJ183&lt;&gt;"",AJ183*43560,""))),"ERROR")</f>
        <v/>
      </c>
      <c r="AL183" s="15">
        <f>IFERROR(IF(AK183&lt;&gt;"",AK183/43560,""),"—")</f>
        <v/>
      </c>
      <c r="AN183" s="14">
        <f>IFERROR(IF(AL183="","",IF(AL183&lt;2,"Residential (&lt;2ac)",IF(AL183&lt;10,"Small Rural (2-10ac)",IF(AL183&lt;40,"Rural (10-40ac)",IF(AL183&lt;100,"Farm/Estate (40-100ac)","Large Farm (100+ac)"))))),"—")</f>
        <v/>
      </c>
      <c r="AZ183" s="21" t="n"/>
      <c r="BF183" s="21" t="n"/>
      <c r="BG183" s="21" t="n"/>
      <c r="BH183" s="22">
        <f>IFERROR(IF(AND(BF183&lt;&gt;"",BG183&lt;&gt;""),AVERAGE(BF183,BG183),""),"—")</f>
        <v/>
      </c>
      <c r="BK183" s="21" t="n"/>
      <c r="BM183" s="21" t="n"/>
      <c r="BN183" s="28">
        <f>IFERROR(IF(AND(BK183&lt;&gt;"",BM183&lt;&gt;""),IF(BM183&lt;BK183,1,0),""),"")</f>
        <v/>
      </c>
      <c r="BP183" s="21" t="n"/>
      <c r="BS183" s="29">
        <f>IFERROR(IF(AND(BH183&lt;&gt;"",BK183&lt;&gt;""),(BH183-BK183)/BK183,""),"—")</f>
        <v/>
      </c>
      <c r="BT183" s="29">
        <f>IFERROR(IF(AND(BH183&lt;&gt;"",BP183&lt;&gt;""),(BH183-BP183)/BP183,""),"—")</f>
        <v/>
      </c>
      <c r="BU183" s="29">
        <f>IFERROR(IF(AND(BK183&lt;&gt;"",BP183&lt;&gt;""),(BP183-BK183)/BK183,""),"—")</f>
        <v/>
      </c>
    </row>
    <row r="184">
      <c r="AK184" s="14">
        <f>IFERROR(IF(AND(AG184&lt;&gt;"",AH184&lt;&gt;""),AG184*AH184,IF(AI184&lt;&gt;"",AI184,IF(AJ184&lt;&gt;"",AJ184*43560,""))),"ERROR")</f>
        <v/>
      </c>
      <c r="AL184" s="15">
        <f>IFERROR(IF(AK184&lt;&gt;"",AK184/43560,""),"—")</f>
        <v/>
      </c>
      <c r="AN184" s="14">
        <f>IFERROR(IF(AL184="","",IF(AL184&lt;2,"Residential (&lt;2ac)",IF(AL184&lt;10,"Small Rural (2-10ac)",IF(AL184&lt;40,"Rural (10-40ac)",IF(AL184&lt;100,"Farm/Estate (40-100ac)","Large Farm (100+ac)"))))),"—")</f>
        <v/>
      </c>
      <c r="AZ184" s="21" t="n"/>
      <c r="BF184" s="21" t="n"/>
      <c r="BG184" s="21" t="n"/>
      <c r="BH184" s="22">
        <f>IFERROR(IF(AND(BF184&lt;&gt;"",BG184&lt;&gt;""),AVERAGE(BF184,BG184),""),"—")</f>
        <v/>
      </c>
      <c r="BK184" s="21" t="n"/>
      <c r="BM184" s="21" t="n"/>
      <c r="BN184" s="28">
        <f>IFERROR(IF(AND(BK184&lt;&gt;"",BM184&lt;&gt;""),IF(BM184&lt;BK184,1,0),""),"")</f>
        <v/>
      </c>
      <c r="BP184" s="21" t="n"/>
      <c r="BS184" s="29">
        <f>IFERROR(IF(AND(BH184&lt;&gt;"",BK184&lt;&gt;""),(BH184-BK184)/BK184,""),"—")</f>
        <v/>
      </c>
      <c r="BT184" s="29">
        <f>IFERROR(IF(AND(BH184&lt;&gt;"",BP184&lt;&gt;""),(BH184-BP184)/BP184,""),"—")</f>
        <v/>
      </c>
      <c r="BU184" s="29">
        <f>IFERROR(IF(AND(BK184&lt;&gt;"",BP184&lt;&gt;""),(BP184-BK184)/BK184,""),"—")</f>
        <v/>
      </c>
    </row>
    <row r="185">
      <c r="AK185" s="14">
        <f>IFERROR(IF(AND(AG185&lt;&gt;"",AH185&lt;&gt;""),AG185*AH185,IF(AI185&lt;&gt;"",AI185,IF(AJ185&lt;&gt;"",AJ185*43560,""))),"ERROR")</f>
        <v/>
      </c>
      <c r="AL185" s="15">
        <f>IFERROR(IF(AK185&lt;&gt;"",AK185/43560,""),"—")</f>
        <v/>
      </c>
      <c r="AN185" s="14">
        <f>IFERROR(IF(AL185="","",IF(AL185&lt;2,"Residential (&lt;2ac)",IF(AL185&lt;10,"Small Rural (2-10ac)",IF(AL185&lt;40,"Rural (10-40ac)",IF(AL185&lt;100,"Farm/Estate (40-100ac)","Large Farm (100+ac)"))))),"—")</f>
        <v/>
      </c>
      <c r="AZ185" s="21" t="n"/>
      <c r="BF185" s="21" t="n"/>
      <c r="BG185" s="21" t="n"/>
      <c r="BH185" s="22">
        <f>IFERROR(IF(AND(BF185&lt;&gt;"",BG185&lt;&gt;""),AVERAGE(BF185,BG185),""),"—")</f>
        <v/>
      </c>
      <c r="BK185" s="21" t="n"/>
      <c r="BM185" s="21" t="n"/>
      <c r="BN185" s="28">
        <f>IFERROR(IF(AND(BK185&lt;&gt;"",BM185&lt;&gt;""),IF(BM185&lt;BK185,1,0),""),"")</f>
        <v/>
      </c>
      <c r="BP185" s="21" t="n"/>
      <c r="BS185" s="29">
        <f>IFERROR(IF(AND(BH185&lt;&gt;"",BK185&lt;&gt;""),(BH185-BK185)/BK185,""),"—")</f>
        <v/>
      </c>
      <c r="BT185" s="29">
        <f>IFERROR(IF(AND(BH185&lt;&gt;"",BP185&lt;&gt;""),(BH185-BP185)/BP185,""),"—")</f>
        <v/>
      </c>
      <c r="BU185" s="29">
        <f>IFERROR(IF(AND(BK185&lt;&gt;"",BP185&lt;&gt;""),(BP185-BK185)/BK185,""),"—")</f>
        <v/>
      </c>
    </row>
    <row r="186">
      <c r="AK186" s="14">
        <f>IFERROR(IF(AND(AG186&lt;&gt;"",AH186&lt;&gt;""),AG186*AH186,IF(AI186&lt;&gt;"",AI186,IF(AJ186&lt;&gt;"",AJ186*43560,""))),"ERROR")</f>
        <v/>
      </c>
      <c r="AL186" s="15">
        <f>IFERROR(IF(AK186&lt;&gt;"",AK186/43560,""),"—")</f>
        <v/>
      </c>
      <c r="AN186" s="14">
        <f>IFERROR(IF(AL186="","",IF(AL186&lt;2,"Residential (&lt;2ac)",IF(AL186&lt;10,"Small Rural (2-10ac)",IF(AL186&lt;40,"Rural (10-40ac)",IF(AL186&lt;100,"Farm/Estate (40-100ac)","Large Farm (100+ac)"))))),"—")</f>
        <v/>
      </c>
      <c r="AZ186" s="21" t="n"/>
      <c r="BF186" s="21" t="n"/>
      <c r="BG186" s="21" t="n"/>
      <c r="BH186" s="22">
        <f>IFERROR(IF(AND(BF186&lt;&gt;"",BG186&lt;&gt;""),AVERAGE(BF186,BG186),""),"—")</f>
        <v/>
      </c>
      <c r="BK186" s="21" t="n"/>
      <c r="BM186" s="21" t="n"/>
      <c r="BN186" s="28">
        <f>IFERROR(IF(AND(BK186&lt;&gt;"",BM186&lt;&gt;""),IF(BM186&lt;BK186,1,0),""),"")</f>
        <v/>
      </c>
      <c r="BP186" s="21" t="n"/>
      <c r="BS186" s="29">
        <f>IFERROR(IF(AND(BH186&lt;&gt;"",BK186&lt;&gt;""),(BH186-BK186)/BK186,""),"—")</f>
        <v/>
      </c>
      <c r="BT186" s="29">
        <f>IFERROR(IF(AND(BH186&lt;&gt;"",BP186&lt;&gt;""),(BH186-BP186)/BP186,""),"—")</f>
        <v/>
      </c>
      <c r="BU186" s="29">
        <f>IFERROR(IF(AND(BK186&lt;&gt;"",BP186&lt;&gt;""),(BP186-BK186)/BK186,""),"—")</f>
        <v/>
      </c>
    </row>
    <row r="187">
      <c r="AK187" s="14">
        <f>IFERROR(IF(AND(AG187&lt;&gt;"",AH187&lt;&gt;""),AG187*AH187,IF(AI187&lt;&gt;"",AI187,IF(AJ187&lt;&gt;"",AJ187*43560,""))),"ERROR")</f>
        <v/>
      </c>
      <c r="AL187" s="15">
        <f>IFERROR(IF(AK187&lt;&gt;"",AK187/43560,""),"—")</f>
        <v/>
      </c>
      <c r="AN187" s="14">
        <f>IFERROR(IF(AL187="","",IF(AL187&lt;2,"Residential (&lt;2ac)",IF(AL187&lt;10,"Small Rural (2-10ac)",IF(AL187&lt;40,"Rural (10-40ac)",IF(AL187&lt;100,"Farm/Estate (40-100ac)","Large Farm (100+ac)"))))),"—")</f>
        <v/>
      </c>
      <c r="AZ187" s="21" t="n"/>
      <c r="BF187" s="21" t="n"/>
      <c r="BG187" s="21" t="n"/>
      <c r="BH187" s="22">
        <f>IFERROR(IF(AND(BF187&lt;&gt;"",BG187&lt;&gt;""),AVERAGE(BF187,BG187),""),"—")</f>
        <v/>
      </c>
      <c r="BK187" s="21" t="n"/>
      <c r="BM187" s="21" t="n"/>
      <c r="BN187" s="28">
        <f>IFERROR(IF(AND(BK187&lt;&gt;"",BM187&lt;&gt;""),IF(BM187&lt;BK187,1,0),""),"")</f>
        <v/>
      </c>
      <c r="BP187" s="21" t="n"/>
      <c r="BS187" s="29">
        <f>IFERROR(IF(AND(BH187&lt;&gt;"",BK187&lt;&gt;""),(BH187-BK187)/BK187,""),"—")</f>
        <v/>
      </c>
      <c r="BT187" s="29">
        <f>IFERROR(IF(AND(BH187&lt;&gt;"",BP187&lt;&gt;""),(BH187-BP187)/BP187,""),"—")</f>
        <v/>
      </c>
      <c r="BU187" s="29">
        <f>IFERROR(IF(AND(BK187&lt;&gt;"",BP187&lt;&gt;""),(BP187-BK187)/BK187,""),"—")</f>
        <v/>
      </c>
    </row>
    <row r="188">
      <c r="AK188" s="14">
        <f>IFERROR(IF(AND(AG188&lt;&gt;"",AH188&lt;&gt;""),AG188*AH188,IF(AI188&lt;&gt;"",AI188,IF(AJ188&lt;&gt;"",AJ188*43560,""))),"ERROR")</f>
        <v/>
      </c>
      <c r="AL188" s="15">
        <f>IFERROR(IF(AK188&lt;&gt;"",AK188/43560,""),"—")</f>
        <v/>
      </c>
      <c r="AN188" s="14">
        <f>IFERROR(IF(AL188="","",IF(AL188&lt;2,"Residential (&lt;2ac)",IF(AL188&lt;10,"Small Rural (2-10ac)",IF(AL188&lt;40,"Rural (10-40ac)",IF(AL188&lt;100,"Farm/Estate (40-100ac)","Large Farm (100+ac)"))))),"—")</f>
        <v/>
      </c>
      <c r="AZ188" s="21" t="n"/>
      <c r="BF188" s="21" t="n"/>
      <c r="BG188" s="21" t="n"/>
      <c r="BH188" s="22">
        <f>IFERROR(IF(AND(BF188&lt;&gt;"",BG188&lt;&gt;""),AVERAGE(BF188,BG188),""),"—")</f>
        <v/>
      </c>
      <c r="BK188" s="21" t="n"/>
      <c r="BM188" s="21" t="n"/>
      <c r="BN188" s="28">
        <f>IFERROR(IF(AND(BK188&lt;&gt;"",BM188&lt;&gt;""),IF(BM188&lt;BK188,1,0),""),"")</f>
        <v/>
      </c>
      <c r="BP188" s="21" t="n"/>
      <c r="BS188" s="29">
        <f>IFERROR(IF(AND(BH188&lt;&gt;"",BK188&lt;&gt;""),(BH188-BK188)/BK188,""),"—")</f>
        <v/>
      </c>
      <c r="BT188" s="29">
        <f>IFERROR(IF(AND(BH188&lt;&gt;"",BP188&lt;&gt;""),(BH188-BP188)/BP188,""),"—")</f>
        <v/>
      </c>
      <c r="BU188" s="29">
        <f>IFERROR(IF(AND(BK188&lt;&gt;"",BP188&lt;&gt;""),(BP188-BK188)/BK188,""),"—")</f>
        <v/>
      </c>
    </row>
    <row r="189">
      <c r="AK189" s="14">
        <f>IFERROR(IF(AND(AG189&lt;&gt;"",AH189&lt;&gt;""),AG189*AH189,IF(AI189&lt;&gt;"",AI189,IF(AJ189&lt;&gt;"",AJ189*43560,""))),"ERROR")</f>
        <v/>
      </c>
      <c r="AL189" s="15">
        <f>IFERROR(IF(AK189&lt;&gt;"",AK189/43560,""),"—")</f>
        <v/>
      </c>
      <c r="AN189" s="14">
        <f>IFERROR(IF(AL189="","",IF(AL189&lt;2,"Residential (&lt;2ac)",IF(AL189&lt;10,"Small Rural (2-10ac)",IF(AL189&lt;40,"Rural (10-40ac)",IF(AL189&lt;100,"Farm/Estate (40-100ac)","Large Farm (100+ac)"))))),"—")</f>
        <v/>
      </c>
      <c r="AZ189" s="21" t="n"/>
      <c r="BF189" s="21" t="n"/>
      <c r="BG189" s="21" t="n"/>
      <c r="BH189" s="22">
        <f>IFERROR(IF(AND(BF189&lt;&gt;"",BG189&lt;&gt;""),AVERAGE(BF189,BG189),""),"—")</f>
        <v/>
      </c>
      <c r="BK189" s="21" t="n"/>
      <c r="BM189" s="21" t="n"/>
      <c r="BN189" s="28">
        <f>IFERROR(IF(AND(BK189&lt;&gt;"",BM189&lt;&gt;""),IF(BM189&lt;BK189,1,0),""),"")</f>
        <v/>
      </c>
      <c r="BP189" s="21" t="n"/>
      <c r="BS189" s="29">
        <f>IFERROR(IF(AND(BH189&lt;&gt;"",BK189&lt;&gt;""),(BH189-BK189)/BK189,""),"—")</f>
        <v/>
      </c>
      <c r="BT189" s="29">
        <f>IFERROR(IF(AND(BH189&lt;&gt;"",BP189&lt;&gt;""),(BH189-BP189)/BP189,""),"—")</f>
        <v/>
      </c>
      <c r="BU189" s="29">
        <f>IFERROR(IF(AND(BK189&lt;&gt;"",BP189&lt;&gt;""),(BP189-BK189)/BK189,""),"—")</f>
        <v/>
      </c>
    </row>
    <row r="190">
      <c r="AK190" s="14">
        <f>IFERROR(IF(AND(AG190&lt;&gt;"",AH190&lt;&gt;""),AG190*AH190,IF(AI190&lt;&gt;"",AI190,IF(AJ190&lt;&gt;"",AJ190*43560,""))),"ERROR")</f>
        <v/>
      </c>
      <c r="AL190" s="15">
        <f>IFERROR(IF(AK190&lt;&gt;"",AK190/43560,""),"—")</f>
        <v/>
      </c>
      <c r="AN190" s="14">
        <f>IFERROR(IF(AL190="","",IF(AL190&lt;2,"Residential (&lt;2ac)",IF(AL190&lt;10,"Small Rural (2-10ac)",IF(AL190&lt;40,"Rural (10-40ac)",IF(AL190&lt;100,"Farm/Estate (40-100ac)","Large Farm (100+ac)"))))),"—")</f>
        <v/>
      </c>
      <c r="AZ190" s="21" t="n"/>
      <c r="BF190" s="21" t="n"/>
      <c r="BG190" s="21" t="n"/>
      <c r="BH190" s="22">
        <f>IFERROR(IF(AND(BF190&lt;&gt;"",BG190&lt;&gt;""),AVERAGE(BF190,BG190),""),"—")</f>
        <v/>
      </c>
      <c r="BK190" s="21" t="n"/>
      <c r="BM190" s="21" t="n"/>
      <c r="BN190" s="28">
        <f>IFERROR(IF(AND(BK190&lt;&gt;"",BM190&lt;&gt;""),IF(BM190&lt;BK190,1,0),""),"")</f>
        <v/>
      </c>
      <c r="BP190" s="21" t="n"/>
      <c r="BS190" s="29">
        <f>IFERROR(IF(AND(BH190&lt;&gt;"",BK190&lt;&gt;""),(BH190-BK190)/BK190,""),"—")</f>
        <v/>
      </c>
      <c r="BT190" s="29">
        <f>IFERROR(IF(AND(BH190&lt;&gt;"",BP190&lt;&gt;""),(BH190-BP190)/BP190,""),"—")</f>
        <v/>
      </c>
      <c r="BU190" s="29">
        <f>IFERROR(IF(AND(BK190&lt;&gt;"",BP190&lt;&gt;""),(BP190-BK190)/BK190,""),"—")</f>
        <v/>
      </c>
    </row>
    <row r="191">
      <c r="AK191" s="14">
        <f>IFERROR(IF(AND(AG191&lt;&gt;"",AH191&lt;&gt;""),AG191*AH191,IF(AI191&lt;&gt;"",AI191,IF(AJ191&lt;&gt;"",AJ191*43560,""))),"ERROR")</f>
        <v/>
      </c>
      <c r="AL191" s="15">
        <f>IFERROR(IF(AK191&lt;&gt;"",AK191/43560,""),"—")</f>
        <v/>
      </c>
      <c r="AN191" s="14">
        <f>IFERROR(IF(AL191="","",IF(AL191&lt;2,"Residential (&lt;2ac)",IF(AL191&lt;10,"Small Rural (2-10ac)",IF(AL191&lt;40,"Rural (10-40ac)",IF(AL191&lt;100,"Farm/Estate (40-100ac)","Large Farm (100+ac)"))))),"—")</f>
        <v/>
      </c>
      <c r="AZ191" s="21" t="n"/>
      <c r="BF191" s="21" t="n"/>
      <c r="BG191" s="21" t="n"/>
      <c r="BH191" s="22">
        <f>IFERROR(IF(AND(BF191&lt;&gt;"",BG191&lt;&gt;""),AVERAGE(BF191,BG191),""),"—")</f>
        <v/>
      </c>
      <c r="BK191" s="21" t="n"/>
      <c r="BM191" s="21" t="n"/>
      <c r="BN191" s="28">
        <f>IFERROR(IF(AND(BK191&lt;&gt;"",BM191&lt;&gt;""),IF(BM191&lt;BK191,1,0),""),"")</f>
        <v/>
      </c>
      <c r="BP191" s="21" t="n"/>
      <c r="BS191" s="29">
        <f>IFERROR(IF(AND(BH191&lt;&gt;"",BK191&lt;&gt;""),(BH191-BK191)/BK191,""),"—")</f>
        <v/>
      </c>
      <c r="BT191" s="29">
        <f>IFERROR(IF(AND(BH191&lt;&gt;"",BP191&lt;&gt;""),(BH191-BP191)/BP191,""),"—")</f>
        <v/>
      </c>
      <c r="BU191" s="29">
        <f>IFERROR(IF(AND(BK191&lt;&gt;"",BP191&lt;&gt;""),(BP191-BK191)/BK191,""),"—")</f>
        <v/>
      </c>
    </row>
    <row r="192">
      <c r="AK192" s="14">
        <f>IFERROR(IF(AND(AG192&lt;&gt;"",AH192&lt;&gt;""),AG192*AH192,IF(AI192&lt;&gt;"",AI192,IF(AJ192&lt;&gt;"",AJ192*43560,""))),"ERROR")</f>
        <v/>
      </c>
      <c r="AL192" s="15">
        <f>IFERROR(IF(AK192&lt;&gt;"",AK192/43560,""),"—")</f>
        <v/>
      </c>
      <c r="AN192" s="14">
        <f>IFERROR(IF(AL192="","",IF(AL192&lt;2,"Residential (&lt;2ac)",IF(AL192&lt;10,"Small Rural (2-10ac)",IF(AL192&lt;40,"Rural (10-40ac)",IF(AL192&lt;100,"Farm/Estate (40-100ac)","Large Farm (100+ac)"))))),"—")</f>
        <v/>
      </c>
      <c r="AZ192" s="21" t="n"/>
      <c r="BF192" s="21" t="n"/>
      <c r="BG192" s="21" t="n"/>
      <c r="BH192" s="22">
        <f>IFERROR(IF(AND(BF192&lt;&gt;"",BG192&lt;&gt;""),AVERAGE(BF192,BG192),""),"—")</f>
        <v/>
      </c>
      <c r="BK192" s="21" t="n"/>
      <c r="BM192" s="21" t="n"/>
      <c r="BN192" s="28">
        <f>IFERROR(IF(AND(BK192&lt;&gt;"",BM192&lt;&gt;""),IF(BM192&lt;BK192,1,0),""),"")</f>
        <v/>
      </c>
      <c r="BP192" s="21" t="n"/>
      <c r="BS192" s="29">
        <f>IFERROR(IF(AND(BH192&lt;&gt;"",BK192&lt;&gt;""),(BH192-BK192)/BK192,""),"—")</f>
        <v/>
      </c>
      <c r="BT192" s="29">
        <f>IFERROR(IF(AND(BH192&lt;&gt;"",BP192&lt;&gt;""),(BH192-BP192)/BP192,""),"—")</f>
        <v/>
      </c>
      <c r="BU192" s="29">
        <f>IFERROR(IF(AND(BK192&lt;&gt;"",BP192&lt;&gt;""),(BP192-BK192)/BK192,""),"—")</f>
        <v/>
      </c>
    </row>
    <row r="193">
      <c r="AK193" s="14">
        <f>IFERROR(IF(AND(AG193&lt;&gt;"",AH193&lt;&gt;""),AG193*AH193,IF(AI193&lt;&gt;"",AI193,IF(AJ193&lt;&gt;"",AJ193*43560,""))),"ERROR")</f>
        <v/>
      </c>
      <c r="AL193" s="15">
        <f>IFERROR(IF(AK193&lt;&gt;"",AK193/43560,""),"—")</f>
        <v/>
      </c>
      <c r="AN193" s="14">
        <f>IFERROR(IF(AL193="","",IF(AL193&lt;2,"Residential (&lt;2ac)",IF(AL193&lt;10,"Small Rural (2-10ac)",IF(AL193&lt;40,"Rural (10-40ac)",IF(AL193&lt;100,"Farm/Estate (40-100ac)","Large Farm (100+ac)"))))),"—")</f>
        <v/>
      </c>
      <c r="AZ193" s="21" t="n"/>
      <c r="BF193" s="21" t="n"/>
      <c r="BG193" s="21" t="n"/>
      <c r="BH193" s="22">
        <f>IFERROR(IF(AND(BF193&lt;&gt;"",BG193&lt;&gt;""),AVERAGE(BF193,BG193),""),"—")</f>
        <v/>
      </c>
      <c r="BK193" s="21" t="n"/>
      <c r="BM193" s="21" t="n"/>
      <c r="BN193" s="28">
        <f>IFERROR(IF(AND(BK193&lt;&gt;"",BM193&lt;&gt;""),IF(BM193&lt;BK193,1,0),""),"")</f>
        <v/>
      </c>
      <c r="BP193" s="21" t="n"/>
      <c r="BS193" s="29">
        <f>IFERROR(IF(AND(BH193&lt;&gt;"",BK193&lt;&gt;""),(BH193-BK193)/BK193,""),"—")</f>
        <v/>
      </c>
      <c r="BT193" s="29">
        <f>IFERROR(IF(AND(BH193&lt;&gt;"",BP193&lt;&gt;""),(BH193-BP193)/BP193,""),"—")</f>
        <v/>
      </c>
      <c r="BU193" s="29">
        <f>IFERROR(IF(AND(BK193&lt;&gt;"",BP193&lt;&gt;""),(BP193-BK193)/BK193,""),"—")</f>
        <v/>
      </c>
    </row>
    <row r="194">
      <c r="AK194" s="14">
        <f>IFERROR(IF(AND(AG194&lt;&gt;"",AH194&lt;&gt;""),AG194*AH194,IF(AI194&lt;&gt;"",AI194,IF(AJ194&lt;&gt;"",AJ194*43560,""))),"ERROR")</f>
        <v/>
      </c>
      <c r="AL194" s="15">
        <f>IFERROR(IF(AK194&lt;&gt;"",AK194/43560,""),"—")</f>
        <v/>
      </c>
      <c r="AN194" s="14">
        <f>IFERROR(IF(AL194="","",IF(AL194&lt;2,"Residential (&lt;2ac)",IF(AL194&lt;10,"Small Rural (2-10ac)",IF(AL194&lt;40,"Rural (10-40ac)",IF(AL194&lt;100,"Farm/Estate (40-100ac)","Large Farm (100+ac)"))))),"—")</f>
        <v/>
      </c>
      <c r="AZ194" s="21" t="n"/>
      <c r="BF194" s="21" t="n"/>
      <c r="BG194" s="21" t="n"/>
      <c r="BH194" s="22">
        <f>IFERROR(IF(AND(BF194&lt;&gt;"",BG194&lt;&gt;""),AVERAGE(BF194,BG194),""),"—")</f>
        <v/>
      </c>
      <c r="BK194" s="21" t="n"/>
      <c r="BM194" s="21" t="n"/>
      <c r="BN194" s="28">
        <f>IFERROR(IF(AND(BK194&lt;&gt;"",BM194&lt;&gt;""),IF(BM194&lt;BK194,1,0),""),"")</f>
        <v/>
      </c>
      <c r="BP194" s="21" t="n"/>
      <c r="BS194" s="29">
        <f>IFERROR(IF(AND(BH194&lt;&gt;"",BK194&lt;&gt;""),(BH194-BK194)/BK194,""),"—")</f>
        <v/>
      </c>
      <c r="BT194" s="29">
        <f>IFERROR(IF(AND(BH194&lt;&gt;"",BP194&lt;&gt;""),(BH194-BP194)/BP194,""),"—")</f>
        <v/>
      </c>
      <c r="BU194" s="29">
        <f>IFERROR(IF(AND(BK194&lt;&gt;"",BP194&lt;&gt;""),(BP194-BK194)/BK194,""),"—")</f>
        <v/>
      </c>
    </row>
    <row r="195">
      <c r="AK195" s="14">
        <f>IFERROR(IF(AND(AG195&lt;&gt;"",AH195&lt;&gt;""),AG195*AH195,IF(AI195&lt;&gt;"",AI195,IF(AJ195&lt;&gt;"",AJ195*43560,""))),"ERROR")</f>
        <v/>
      </c>
      <c r="AL195" s="15">
        <f>IFERROR(IF(AK195&lt;&gt;"",AK195/43560,""),"—")</f>
        <v/>
      </c>
      <c r="AN195" s="14">
        <f>IFERROR(IF(AL195="","",IF(AL195&lt;2,"Residential (&lt;2ac)",IF(AL195&lt;10,"Small Rural (2-10ac)",IF(AL195&lt;40,"Rural (10-40ac)",IF(AL195&lt;100,"Farm/Estate (40-100ac)","Large Farm (100+ac)"))))),"—")</f>
        <v/>
      </c>
      <c r="AZ195" s="21" t="n"/>
      <c r="BF195" s="21" t="n"/>
      <c r="BG195" s="21" t="n"/>
      <c r="BH195" s="22">
        <f>IFERROR(IF(AND(BF195&lt;&gt;"",BG195&lt;&gt;""),AVERAGE(BF195,BG195),""),"—")</f>
        <v/>
      </c>
      <c r="BK195" s="21" t="n"/>
      <c r="BM195" s="21" t="n"/>
      <c r="BN195" s="28">
        <f>IFERROR(IF(AND(BK195&lt;&gt;"",BM195&lt;&gt;""),IF(BM195&lt;BK195,1,0),""),"")</f>
        <v/>
      </c>
      <c r="BP195" s="21" t="n"/>
      <c r="BS195" s="29">
        <f>IFERROR(IF(AND(BH195&lt;&gt;"",BK195&lt;&gt;""),(BH195-BK195)/BK195,""),"—")</f>
        <v/>
      </c>
      <c r="BT195" s="29">
        <f>IFERROR(IF(AND(BH195&lt;&gt;"",BP195&lt;&gt;""),(BH195-BP195)/BP195,""),"—")</f>
        <v/>
      </c>
      <c r="BU195" s="29">
        <f>IFERROR(IF(AND(BK195&lt;&gt;"",BP195&lt;&gt;""),(BP195-BK195)/BK195,""),"—")</f>
        <v/>
      </c>
    </row>
    <row r="196">
      <c r="AK196" s="14">
        <f>IFERROR(IF(AND(AG196&lt;&gt;"",AH196&lt;&gt;""),AG196*AH196,IF(AI196&lt;&gt;"",AI196,IF(AJ196&lt;&gt;"",AJ196*43560,""))),"ERROR")</f>
        <v/>
      </c>
      <c r="AL196" s="15">
        <f>IFERROR(IF(AK196&lt;&gt;"",AK196/43560,""),"—")</f>
        <v/>
      </c>
      <c r="AN196" s="14">
        <f>IFERROR(IF(AL196="","",IF(AL196&lt;2,"Residential (&lt;2ac)",IF(AL196&lt;10,"Small Rural (2-10ac)",IF(AL196&lt;40,"Rural (10-40ac)",IF(AL196&lt;100,"Farm/Estate (40-100ac)","Large Farm (100+ac)"))))),"—")</f>
        <v/>
      </c>
      <c r="AZ196" s="21" t="n"/>
      <c r="BF196" s="21" t="n"/>
      <c r="BG196" s="21" t="n"/>
      <c r="BH196" s="22">
        <f>IFERROR(IF(AND(BF196&lt;&gt;"",BG196&lt;&gt;""),AVERAGE(BF196,BG196),""),"—")</f>
        <v/>
      </c>
      <c r="BK196" s="21" t="n"/>
      <c r="BM196" s="21" t="n"/>
      <c r="BN196" s="28">
        <f>IFERROR(IF(AND(BK196&lt;&gt;"",BM196&lt;&gt;""),IF(BM196&lt;BK196,1,0),""),"")</f>
        <v/>
      </c>
      <c r="BP196" s="21" t="n"/>
      <c r="BS196" s="29">
        <f>IFERROR(IF(AND(BH196&lt;&gt;"",BK196&lt;&gt;""),(BH196-BK196)/BK196,""),"—")</f>
        <v/>
      </c>
      <c r="BT196" s="29">
        <f>IFERROR(IF(AND(BH196&lt;&gt;"",BP196&lt;&gt;""),(BH196-BP196)/BP196,""),"—")</f>
        <v/>
      </c>
      <c r="BU196" s="29">
        <f>IFERROR(IF(AND(BK196&lt;&gt;"",BP196&lt;&gt;""),(BP196-BK196)/BK196,""),"—")</f>
        <v/>
      </c>
    </row>
    <row r="197">
      <c r="AK197" s="14">
        <f>IFERROR(IF(AND(AG197&lt;&gt;"",AH197&lt;&gt;""),AG197*AH197,IF(AI197&lt;&gt;"",AI197,IF(AJ197&lt;&gt;"",AJ197*43560,""))),"ERROR")</f>
        <v/>
      </c>
      <c r="AL197" s="15">
        <f>IFERROR(IF(AK197&lt;&gt;"",AK197/43560,""),"—")</f>
        <v/>
      </c>
      <c r="AN197" s="14">
        <f>IFERROR(IF(AL197="","",IF(AL197&lt;2,"Residential (&lt;2ac)",IF(AL197&lt;10,"Small Rural (2-10ac)",IF(AL197&lt;40,"Rural (10-40ac)",IF(AL197&lt;100,"Farm/Estate (40-100ac)","Large Farm (100+ac)"))))),"—")</f>
        <v/>
      </c>
      <c r="AZ197" s="21" t="n"/>
      <c r="BF197" s="21" t="n"/>
      <c r="BG197" s="21" t="n"/>
      <c r="BH197" s="22">
        <f>IFERROR(IF(AND(BF197&lt;&gt;"",BG197&lt;&gt;""),AVERAGE(BF197,BG197),""),"—")</f>
        <v/>
      </c>
      <c r="BK197" s="21" t="n"/>
      <c r="BM197" s="21" t="n"/>
      <c r="BN197" s="28">
        <f>IFERROR(IF(AND(BK197&lt;&gt;"",BM197&lt;&gt;""),IF(BM197&lt;BK197,1,0),""),"")</f>
        <v/>
      </c>
      <c r="BP197" s="21" t="n"/>
      <c r="BS197" s="29">
        <f>IFERROR(IF(AND(BH197&lt;&gt;"",BK197&lt;&gt;""),(BH197-BK197)/BK197,""),"—")</f>
        <v/>
      </c>
      <c r="BT197" s="29">
        <f>IFERROR(IF(AND(BH197&lt;&gt;"",BP197&lt;&gt;""),(BH197-BP197)/BP197,""),"—")</f>
        <v/>
      </c>
      <c r="BU197" s="29">
        <f>IFERROR(IF(AND(BK197&lt;&gt;"",BP197&lt;&gt;""),(BP197-BK197)/BK197,""),"—")</f>
        <v/>
      </c>
    </row>
    <row r="198">
      <c r="AK198" s="14">
        <f>IFERROR(IF(AND(AG198&lt;&gt;"",AH198&lt;&gt;""),AG198*AH198,IF(AI198&lt;&gt;"",AI198,IF(AJ198&lt;&gt;"",AJ198*43560,""))),"ERROR")</f>
        <v/>
      </c>
      <c r="AL198" s="15">
        <f>IFERROR(IF(AK198&lt;&gt;"",AK198/43560,""),"—")</f>
        <v/>
      </c>
      <c r="AN198" s="14">
        <f>IFERROR(IF(AL198="","",IF(AL198&lt;2,"Residential (&lt;2ac)",IF(AL198&lt;10,"Small Rural (2-10ac)",IF(AL198&lt;40,"Rural (10-40ac)",IF(AL198&lt;100,"Farm/Estate (40-100ac)","Large Farm (100+ac)"))))),"—")</f>
        <v/>
      </c>
      <c r="AZ198" s="21" t="n"/>
      <c r="BF198" s="21" t="n"/>
      <c r="BG198" s="21" t="n"/>
      <c r="BH198" s="22">
        <f>IFERROR(IF(AND(BF198&lt;&gt;"",BG198&lt;&gt;""),AVERAGE(BF198,BG198),""),"—")</f>
        <v/>
      </c>
      <c r="BK198" s="21" t="n"/>
      <c r="BM198" s="21" t="n"/>
      <c r="BN198" s="28">
        <f>IFERROR(IF(AND(BK198&lt;&gt;"",BM198&lt;&gt;""),IF(BM198&lt;BK198,1,0),""),"")</f>
        <v/>
      </c>
      <c r="BP198" s="21" t="n"/>
      <c r="BS198" s="29">
        <f>IFERROR(IF(AND(BH198&lt;&gt;"",BK198&lt;&gt;""),(BH198-BK198)/BK198,""),"—")</f>
        <v/>
      </c>
      <c r="BT198" s="29">
        <f>IFERROR(IF(AND(BH198&lt;&gt;"",BP198&lt;&gt;""),(BH198-BP198)/BP198,""),"—")</f>
        <v/>
      </c>
      <c r="BU198" s="29">
        <f>IFERROR(IF(AND(BK198&lt;&gt;"",BP198&lt;&gt;""),(BP198-BK198)/BK198,""),"—")</f>
        <v/>
      </c>
    </row>
    <row r="199">
      <c r="AK199" s="14">
        <f>IFERROR(IF(AND(AG199&lt;&gt;"",AH199&lt;&gt;""),AG199*AH199,IF(AI199&lt;&gt;"",AI199,IF(AJ199&lt;&gt;"",AJ199*43560,""))),"ERROR")</f>
        <v/>
      </c>
      <c r="AL199" s="15">
        <f>IFERROR(IF(AK199&lt;&gt;"",AK199/43560,""),"—")</f>
        <v/>
      </c>
      <c r="AN199" s="14">
        <f>IFERROR(IF(AL199="","",IF(AL199&lt;2,"Residential (&lt;2ac)",IF(AL199&lt;10,"Small Rural (2-10ac)",IF(AL199&lt;40,"Rural (10-40ac)",IF(AL199&lt;100,"Farm/Estate (40-100ac)","Large Farm (100+ac)"))))),"—")</f>
        <v/>
      </c>
      <c r="AZ199" s="21" t="n"/>
      <c r="BF199" s="21" t="n"/>
      <c r="BG199" s="21" t="n"/>
      <c r="BH199" s="22">
        <f>IFERROR(IF(AND(BF199&lt;&gt;"",BG199&lt;&gt;""),AVERAGE(BF199,BG199),""),"—")</f>
        <v/>
      </c>
      <c r="BK199" s="21" t="n"/>
      <c r="BM199" s="21" t="n"/>
      <c r="BN199" s="28">
        <f>IFERROR(IF(AND(BK199&lt;&gt;"",BM199&lt;&gt;""),IF(BM199&lt;BK199,1,0),""),"")</f>
        <v/>
      </c>
      <c r="BP199" s="21" t="n"/>
      <c r="BS199" s="29">
        <f>IFERROR(IF(AND(BH199&lt;&gt;"",BK199&lt;&gt;""),(BH199-BK199)/BK199,""),"—")</f>
        <v/>
      </c>
      <c r="BT199" s="29">
        <f>IFERROR(IF(AND(BH199&lt;&gt;"",BP199&lt;&gt;""),(BH199-BP199)/BP199,""),"—")</f>
        <v/>
      </c>
      <c r="BU199" s="29">
        <f>IFERROR(IF(AND(BK199&lt;&gt;"",BP199&lt;&gt;""),(BP199-BK199)/BK199,""),"—")</f>
        <v/>
      </c>
    </row>
    <row r="200">
      <c r="AK200" s="14">
        <f>IFERROR(IF(AND(AG200&lt;&gt;"",AH200&lt;&gt;""),AG200*AH200,IF(AI200&lt;&gt;"",AI200,IF(AJ200&lt;&gt;"",AJ200*43560,""))),"ERROR")</f>
        <v/>
      </c>
      <c r="AL200" s="15">
        <f>IFERROR(IF(AK200&lt;&gt;"",AK200/43560,""),"—")</f>
        <v/>
      </c>
      <c r="AN200" s="14">
        <f>IFERROR(IF(AL200="","",IF(AL200&lt;2,"Residential (&lt;2ac)",IF(AL200&lt;10,"Small Rural (2-10ac)",IF(AL200&lt;40,"Rural (10-40ac)",IF(AL200&lt;100,"Farm/Estate (40-100ac)","Large Farm (100+ac)"))))),"—")</f>
        <v/>
      </c>
      <c r="AZ200" s="21" t="n"/>
      <c r="BF200" s="21" t="n"/>
      <c r="BG200" s="21" t="n"/>
      <c r="BH200" s="22">
        <f>IFERROR(IF(AND(BF200&lt;&gt;"",BG200&lt;&gt;""),AVERAGE(BF200,BG200),""),"—")</f>
        <v/>
      </c>
      <c r="BK200" s="21" t="n"/>
      <c r="BM200" s="21" t="n"/>
      <c r="BN200" s="28">
        <f>IFERROR(IF(AND(BK200&lt;&gt;"",BM200&lt;&gt;""),IF(BM200&lt;BK200,1,0),""),"")</f>
        <v/>
      </c>
      <c r="BP200" s="21" t="n"/>
      <c r="BS200" s="29">
        <f>IFERROR(IF(AND(BH200&lt;&gt;"",BK200&lt;&gt;""),(BH200-BK200)/BK200,""),"—")</f>
        <v/>
      </c>
      <c r="BT200" s="29">
        <f>IFERROR(IF(AND(BH200&lt;&gt;"",BP200&lt;&gt;""),(BH200-BP200)/BP200,""),"—")</f>
        <v/>
      </c>
      <c r="BU200" s="29">
        <f>IFERROR(IF(AND(BK200&lt;&gt;"",BP200&lt;&gt;""),(BP200-BK200)/BK200,""),"—")</f>
        <v/>
      </c>
    </row>
    <row r="201">
      <c r="AK201" s="14">
        <f>IFERROR(IF(AND(AG201&lt;&gt;"",AH201&lt;&gt;""),AG201*AH201,IF(AI201&lt;&gt;"",AI201,IF(AJ201&lt;&gt;"",AJ201*43560,""))),"ERROR")</f>
        <v/>
      </c>
      <c r="AL201" s="15">
        <f>IFERROR(IF(AK201&lt;&gt;"",AK201/43560,""),"—")</f>
        <v/>
      </c>
      <c r="AN201" s="14">
        <f>IFERROR(IF(AL201="","",IF(AL201&lt;2,"Residential (&lt;2ac)",IF(AL201&lt;10,"Small Rural (2-10ac)",IF(AL201&lt;40,"Rural (10-40ac)",IF(AL201&lt;100,"Farm/Estate (40-100ac)","Large Farm (100+ac)"))))),"—")</f>
        <v/>
      </c>
      <c r="AZ201" s="21" t="n"/>
      <c r="BF201" s="21" t="n"/>
      <c r="BG201" s="21" t="n"/>
      <c r="BH201" s="22">
        <f>IFERROR(IF(AND(BF201&lt;&gt;"",BG201&lt;&gt;""),AVERAGE(BF201,BG201),""),"—")</f>
        <v/>
      </c>
      <c r="BK201" s="21" t="n"/>
      <c r="BM201" s="21" t="n"/>
      <c r="BN201" s="28">
        <f>IFERROR(IF(AND(BK201&lt;&gt;"",BM201&lt;&gt;""),IF(BM201&lt;BK201,1,0),""),"")</f>
        <v/>
      </c>
      <c r="BP201" s="21" t="n"/>
      <c r="BS201" s="29">
        <f>IFERROR(IF(AND(BH201&lt;&gt;"",BK201&lt;&gt;""),(BH201-BK201)/BK201,""),"—")</f>
        <v/>
      </c>
      <c r="BT201" s="29">
        <f>IFERROR(IF(AND(BH201&lt;&gt;"",BP201&lt;&gt;""),(BH201-BP201)/BP201,""),"—")</f>
        <v/>
      </c>
      <c r="BU201" s="29">
        <f>IFERROR(IF(AND(BK201&lt;&gt;"",BP201&lt;&gt;""),(BP201-BK201)/BK201,""),"—")</f>
        <v/>
      </c>
    </row>
    <row r="202">
      <c r="AK202" s="14">
        <f>IFERROR(IF(AND(AG202&lt;&gt;"",AH202&lt;&gt;""),AG202*AH202,IF(AI202&lt;&gt;"",AI202,IF(AJ202&lt;&gt;"",AJ202*43560,""))),"ERROR")</f>
        <v/>
      </c>
      <c r="AL202" s="15">
        <f>IFERROR(IF(AK202&lt;&gt;"",AK202/43560,""),"—")</f>
        <v/>
      </c>
      <c r="AN202" s="14">
        <f>IFERROR(IF(AL202="","",IF(AL202&lt;2,"Residential (&lt;2ac)",IF(AL202&lt;10,"Small Rural (2-10ac)",IF(AL202&lt;40,"Rural (10-40ac)",IF(AL202&lt;100,"Farm/Estate (40-100ac)","Large Farm (100+ac)"))))),"—")</f>
        <v/>
      </c>
      <c r="AZ202" s="21" t="n"/>
      <c r="BF202" s="21" t="n"/>
      <c r="BG202" s="21" t="n"/>
      <c r="BH202" s="22">
        <f>IFERROR(IF(AND(BF202&lt;&gt;"",BG202&lt;&gt;""),AVERAGE(BF202,BG202),""),"—")</f>
        <v/>
      </c>
      <c r="BK202" s="21" t="n"/>
      <c r="BM202" s="21" t="n"/>
      <c r="BN202" s="28">
        <f>IFERROR(IF(AND(BK202&lt;&gt;"",BM202&lt;&gt;""),IF(BM202&lt;BK202,1,0),""),"")</f>
        <v/>
      </c>
      <c r="BP202" s="21" t="n"/>
      <c r="BS202" s="29">
        <f>IFERROR(IF(AND(BH202&lt;&gt;"",BK202&lt;&gt;""),(BH202-BK202)/BK202,""),"—")</f>
        <v/>
      </c>
      <c r="BT202" s="29">
        <f>IFERROR(IF(AND(BH202&lt;&gt;"",BP202&lt;&gt;""),(BH202-BP202)/BP202,""),"—")</f>
        <v/>
      </c>
      <c r="BU202" s="29">
        <f>IFERROR(IF(AND(BK202&lt;&gt;"",BP202&lt;&gt;""),(BP202-BK202)/BK202,""),"—")</f>
        <v/>
      </c>
    </row>
    <row r="203">
      <c r="AK203" s="14">
        <f>IFERROR(IF(AND(AG203&lt;&gt;"",AH203&lt;&gt;""),AG203*AH203,IF(AI203&lt;&gt;"",AI203,IF(AJ203&lt;&gt;"",AJ203*43560,""))),"ERROR")</f>
        <v/>
      </c>
      <c r="AL203" s="15">
        <f>IFERROR(IF(AK203&lt;&gt;"",AK203/43560,""),"—")</f>
        <v/>
      </c>
      <c r="AN203" s="14">
        <f>IFERROR(IF(AL203="","",IF(AL203&lt;2,"Residential (&lt;2ac)",IF(AL203&lt;10,"Small Rural (2-10ac)",IF(AL203&lt;40,"Rural (10-40ac)",IF(AL203&lt;100,"Farm/Estate (40-100ac)","Large Farm (100+ac)"))))),"—")</f>
        <v/>
      </c>
      <c r="AZ203" s="21" t="n"/>
      <c r="BF203" s="21" t="n"/>
      <c r="BG203" s="21" t="n"/>
      <c r="BH203" s="22">
        <f>IFERROR(IF(AND(BF203&lt;&gt;"",BG203&lt;&gt;""),AVERAGE(BF203,BG203),""),"—")</f>
        <v/>
      </c>
      <c r="BK203" s="21" t="n"/>
      <c r="BM203" s="21" t="n"/>
      <c r="BN203" s="28">
        <f>IFERROR(IF(AND(BK203&lt;&gt;"",BM203&lt;&gt;""),IF(BM203&lt;BK203,1,0),""),"")</f>
        <v/>
      </c>
      <c r="BP203" s="21" t="n"/>
      <c r="BS203" s="29">
        <f>IFERROR(IF(AND(BH203&lt;&gt;"",BK203&lt;&gt;""),(BH203-BK203)/BK203,""),"—")</f>
        <v/>
      </c>
      <c r="BT203" s="29">
        <f>IFERROR(IF(AND(BH203&lt;&gt;"",BP203&lt;&gt;""),(BH203-BP203)/BP203,""),"—")</f>
        <v/>
      </c>
      <c r="BU203" s="29">
        <f>IFERROR(IF(AND(BK203&lt;&gt;"",BP203&lt;&gt;""),(BP203-BK203)/BK203,""),"—")</f>
        <v/>
      </c>
    </row>
    <row r="204">
      <c r="AK204" s="14">
        <f>IFERROR(IF(AND(AG204&lt;&gt;"",AH204&lt;&gt;""),AG204*AH204,IF(AI204&lt;&gt;"",AI204,IF(AJ204&lt;&gt;"",AJ204*43560,""))),"ERROR")</f>
        <v/>
      </c>
      <c r="AL204" s="15">
        <f>IFERROR(IF(AK204&lt;&gt;"",AK204/43560,""),"—")</f>
        <v/>
      </c>
      <c r="AN204" s="14">
        <f>IFERROR(IF(AL204="","",IF(AL204&lt;2,"Residential (&lt;2ac)",IF(AL204&lt;10,"Small Rural (2-10ac)",IF(AL204&lt;40,"Rural (10-40ac)",IF(AL204&lt;100,"Farm/Estate (40-100ac)","Large Farm (100+ac)"))))),"—")</f>
        <v/>
      </c>
      <c r="AZ204" s="21" t="n"/>
      <c r="BF204" s="21" t="n"/>
      <c r="BG204" s="21" t="n"/>
      <c r="BH204" s="22">
        <f>IFERROR(IF(AND(BF204&lt;&gt;"",BG204&lt;&gt;""),AVERAGE(BF204,BG204),""),"—")</f>
        <v/>
      </c>
      <c r="BK204" s="21" t="n"/>
      <c r="BM204" s="21" t="n"/>
      <c r="BN204" s="28">
        <f>IFERROR(IF(AND(BK204&lt;&gt;"",BM204&lt;&gt;""),IF(BM204&lt;BK204,1,0),""),"")</f>
        <v/>
      </c>
      <c r="BP204" s="21" t="n"/>
      <c r="BS204" s="29">
        <f>IFERROR(IF(AND(BH204&lt;&gt;"",BK204&lt;&gt;""),(BH204-BK204)/BK204,""),"—")</f>
        <v/>
      </c>
      <c r="BT204" s="29">
        <f>IFERROR(IF(AND(BH204&lt;&gt;"",BP204&lt;&gt;""),(BH204-BP204)/BP204,""),"—")</f>
        <v/>
      </c>
      <c r="BU204" s="29">
        <f>IFERROR(IF(AND(BK204&lt;&gt;"",BP204&lt;&gt;""),(BP204-BK204)/BK204,""),"—")</f>
        <v/>
      </c>
    </row>
    <row r="205">
      <c r="AK205" s="14">
        <f>IFERROR(IF(AND(AG205&lt;&gt;"",AH205&lt;&gt;""),AG205*AH205,IF(AI205&lt;&gt;"",AI205,IF(AJ205&lt;&gt;"",AJ205*43560,""))),"ERROR")</f>
        <v/>
      </c>
      <c r="AL205" s="15">
        <f>IFERROR(IF(AK205&lt;&gt;"",AK205/43560,""),"—")</f>
        <v/>
      </c>
      <c r="AN205" s="14">
        <f>IFERROR(IF(AL205="","",IF(AL205&lt;2,"Residential (&lt;2ac)",IF(AL205&lt;10,"Small Rural (2-10ac)",IF(AL205&lt;40,"Rural (10-40ac)",IF(AL205&lt;100,"Farm/Estate (40-100ac)","Large Farm (100+ac)"))))),"—")</f>
        <v/>
      </c>
      <c r="AZ205" s="21" t="n"/>
      <c r="BF205" s="21" t="n"/>
      <c r="BG205" s="21" t="n"/>
      <c r="BH205" s="22">
        <f>IFERROR(IF(AND(BF205&lt;&gt;"",BG205&lt;&gt;""),AVERAGE(BF205,BG205),""),"—")</f>
        <v/>
      </c>
      <c r="BK205" s="21" t="n"/>
      <c r="BM205" s="21" t="n"/>
      <c r="BN205" s="28">
        <f>IFERROR(IF(AND(BK205&lt;&gt;"",BM205&lt;&gt;""),IF(BM205&lt;BK205,1,0),""),"")</f>
        <v/>
      </c>
      <c r="BP205" s="21" t="n"/>
      <c r="BS205" s="29">
        <f>IFERROR(IF(AND(BH205&lt;&gt;"",BK205&lt;&gt;""),(BH205-BK205)/BK205,""),"—")</f>
        <v/>
      </c>
      <c r="BT205" s="29">
        <f>IFERROR(IF(AND(BH205&lt;&gt;"",BP205&lt;&gt;""),(BH205-BP205)/BP205,""),"—")</f>
        <v/>
      </c>
      <c r="BU205" s="29">
        <f>IFERROR(IF(AND(BK205&lt;&gt;"",BP205&lt;&gt;""),(BP205-BK205)/BK205,""),"—")</f>
        <v/>
      </c>
    </row>
    <row r="206">
      <c r="AK206" s="14">
        <f>IFERROR(IF(AND(AG206&lt;&gt;"",AH206&lt;&gt;""),AG206*AH206,IF(AI206&lt;&gt;"",AI206,IF(AJ206&lt;&gt;"",AJ206*43560,""))),"ERROR")</f>
        <v/>
      </c>
      <c r="AL206" s="15">
        <f>IFERROR(IF(AK206&lt;&gt;"",AK206/43560,""),"—")</f>
        <v/>
      </c>
      <c r="AN206" s="14">
        <f>IFERROR(IF(AL206="","",IF(AL206&lt;2,"Residential (&lt;2ac)",IF(AL206&lt;10,"Small Rural (2-10ac)",IF(AL206&lt;40,"Rural (10-40ac)",IF(AL206&lt;100,"Farm/Estate (40-100ac)","Large Farm (100+ac)"))))),"—")</f>
        <v/>
      </c>
      <c r="AZ206" s="21" t="n"/>
      <c r="BF206" s="21" t="n"/>
      <c r="BG206" s="21" t="n"/>
      <c r="BH206" s="22">
        <f>IFERROR(IF(AND(BF206&lt;&gt;"",BG206&lt;&gt;""),AVERAGE(BF206,BG206),""),"—")</f>
        <v/>
      </c>
      <c r="BK206" s="21" t="n"/>
      <c r="BM206" s="21" t="n"/>
      <c r="BN206" s="28">
        <f>IFERROR(IF(AND(BK206&lt;&gt;"",BM206&lt;&gt;""),IF(BM206&lt;BK206,1,0),""),"")</f>
        <v/>
      </c>
      <c r="BP206" s="21" t="n"/>
      <c r="BS206" s="29">
        <f>IFERROR(IF(AND(BH206&lt;&gt;"",BK206&lt;&gt;""),(BH206-BK206)/BK206,""),"—")</f>
        <v/>
      </c>
      <c r="BT206" s="29">
        <f>IFERROR(IF(AND(BH206&lt;&gt;"",BP206&lt;&gt;""),(BH206-BP206)/BP206,""),"—")</f>
        <v/>
      </c>
      <c r="BU206" s="29">
        <f>IFERROR(IF(AND(BK206&lt;&gt;"",BP206&lt;&gt;""),(BP206-BK206)/BK206,""),"—")</f>
        <v/>
      </c>
    </row>
    <row r="207">
      <c r="AK207" s="14">
        <f>IFERROR(IF(AND(AG207&lt;&gt;"",AH207&lt;&gt;""),AG207*AH207,IF(AI207&lt;&gt;"",AI207,IF(AJ207&lt;&gt;"",AJ207*43560,""))),"ERROR")</f>
        <v/>
      </c>
      <c r="AL207" s="15">
        <f>IFERROR(IF(AK207&lt;&gt;"",AK207/43560,""),"—")</f>
        <v/>
      </c>
      <c r="AN207" s="14">
        <f>IFERROR(IF(AL207="","",IF(AL207&lt;2,"Residential (&lt;2ac)",IF(AL207&lt;10,"Small Rural (2-10ac)",IF(AL207&lt;40,"Rural (10-40ac)",IF(AL207&lt;100,"Farm/Estate (40-100ac)","Large Farm (100+ac)"))))),"—")</f>
        <v/>
      </c>
      <c r="AZ207" s="21" t="n"/>
      <c r="BF207" s="21" t="n"/>
      <c r="BG207" s="21" t="n"/>
      <c r="BH207" s="22">
        <f>IFERROR(IF(AND(BF207&lt;&gt;"",BG207&lt;&gt;""),AVERAGE(BF207,BG207),""),"—")</f>
        <v/>
      </c>
      <c r="BK207" s="21" t="n"/>
      <c r="BM207" s="21" t="n"/>
      <c r="BN207" s="28">
        <f>IFERROR(IF(AND(BK207&lt;&gt;"",BM207&lt;&gt;""),IF(BM207&lt;BK207,1,0),""),"")</f>
        <v/>
      </c>
      <c r="BP207" s="21" t="n"/>
      <c r="BS207" s="29">
        <f>IFERROR(IF(AND(BH207&lt;&gt;"",BK207&lt;&gt;""),(BH207-BK207)/BK207,""),"—")</f>
        <v/>
      </c>
      <c r="BT207" s="29">
        <f>IFERROR(IF(AND(BH207&lt;&gt;"",BP207&lt;&gt;""),(BH207-BP207)/BP207,""),"—")</f>
        <v/>
      </c>
      <c r="BU207" s="29">
        <f>IFERROR(IF(AND(BK207&lt;&gt;"",BP207&lt;&gt;""),(BP207-BK207)/BK207,""),"—")</f>
        <v/>
      </c>
    </row>
    <row r="208">
      <c r="AK208" s="14">
        <f>IFERROR(IF(AND(AG208&lt;&gt;"",AH208&lt;&gt;""),AG208*AH208,IF(AI208&lt;&gt;"",AI208,IF(AJ208&lt;&gt;"",AJ208*43560,""))),"ERROR")</f>
        <v/>
      </c>
      <c r="AL208" s="15">
        <f>IFERROR(IF(AK208&lt;&gt;"",AK208/43560,""),"—")</f>
        <v/>
      </c>
      <c r="AN208" s="14">
        <f>IFERROR(IF(AL208="","",IF(AL208&lt;2,"Residential (&lt;2ac)",IF(AL208&lt;10,"Small Rural (2-10ac)",IF(AL208&lt;40,"Rural (10-40ac)",IF(AL208&lt;100,"Farm/Estate (40-100ac)","Large Farm (100+ac)"))))),"—")</f>
        <v/>
      </c>
      <c r="AZ208" s="21" t="n"/>
      <c r="BF208" s="21" t="n"/>
      <c r="BG208" s="21" t="n"/>
      <c r="BH208" s="22">
        <f>IFERROR(IF(AND(BF208&lt;&gt;"",BG208&lt;&gt;""),AVERAGE(BF208,BG208),""),"—")</f>
        <v/>
      </c>
      <c r="BK208" s="21" t="n"/>
      <c r="BM208" s="21" t="n"/>
      <c r="BN208" s="28">
        <f>IFERROR(IF(AND(BK208&lt;&gt;"",BM208&lt;&gt;""),IF(BM208&lt;BK208,1,0),""),"")</f>
        <v/>
      </c>
      <c r="BP208" s="21" t="n"/>
      <c r="BS208" s="29">
        <f>IFERROR(IF(AND(BH208&lt;&gt;"",BK208&lt;&gt;""),(BH208-BK208)/BK208,""),"—")</f>
        <v/>
      </c>
      <c r="BT208" s="29">
        <f>IFERROR(IF(AND(BH208&lt;&gt;"",BP208&lt;&gt;""),(BH208-BP208)/BP208,""),"—")</f>
        <v/>
      </c>
      <c r="BU208" s="29">
        <f>IFERROR(IF(AND(BK208&lt;&gt;"",BP208&lt;&gt;""),(BP208-BK208)/BK208,""),"—")</f>
        <v/>
      </c>
    </row>
    <row r="209">
      <c r="AK209" s="14">
        <f>IFERROR(IF(AND(AG209&lt;&gt;"",AH209&lt;&gt;""),AG209*AH209,IF(AI209&lt;&gt;"",AI209,IF(AJ209&lt;&gt;"",AJ209*43560,""))),"ERROR")</f>
        <v/>
      </c>
      <c r="AL209" s="15">
        <f>IFERROR(IF(AK209&lt;&gt;"",AK209/43560,""),"—")</f>
        <v/>
      </c>
      <c r="AN209" s="14">
        <f>IFERROR(IF(AL209="","",IF(AL209&lt;2,"Residential (&lt;2ac)",IF(AL209&lt;10,"Small Rural (2-10ac)",IF(AL209&lt;40,"Rural (10-40ac)",IF(AL209&lt;100,"Farm/Estate (40-100ac)","Large Farm (100+ac)"))))),"—")</f>
        <v/>
      </c>
      <c r="AZ209" s="21" t="n"/>
      <c r="BF209" s="21" t="n"/>
      <c r="BG209" s="21" t="n"/>
      <c r="BH209" s="22">
        <f>IFERROR(IF(AND(BF209&lt;&gt;"",BG209&lt;&gt;""),AVERAGE(BF209,BG209),""),"—")</f>
        <v/>
      </c>
      <c r="BK209" s="21" t="n"/>
      <c r="BM209" s="21" t="n"/>
      <c r="BN209" s="28">
        <f>IFERROR(IF(AND(BK209&lt;&gt;"",BM209&lt;&gt;""),IF(BM209&lt;BK209,1,0),""),"")</f>
        <v/>
      </c>
      <c r="BP209" s="21" t="n"/>
      <c r="BS209" s="29">
        <f>IFERROR(IF(AND(BH209&lt;&gt;"",BK209&lt;&gt;""),(BH209-BK209)/BK209,""),"—")</f>
        <v/>
      </c>
      <c r="BT209" s="29">
        <f>IFERROR(IF(AND(BH209&lt;&gt;"",BP209&lt;&gt;""),(BH209-BP209)/BP209,""),"—")</f>
        <v/>
      </c>
      <c r="BU209" s="29">
        <f>IFERROR(IF(AND(BK209&lt;&gt;"",BP209&lt;&gt;""),(BP209-BK209)/BK209,""),"—")</f>
        <v/>
      </c>
    </row>
    <row r="210">
      <c r="AK210" s="14">
        <f>IFERROR(IF(AND(AG210&lt;&gt;"",AH210&lt;&gt;""),AG210*AH210,IF(AI210&lt;&gt;"",AI210,IF(AJ210&lt;&gt;"",AJ210*43560,""))),"ERROR")</f>
        <v/>
      </c>
      <c r="AL210" s="15">
        <f>IFERROR(IF(AK210&lt;&gt;"",AK210/43560,""),"—")</f>
        <v/>
      </c>
      <c r="AN210" s="14">
        <f>IFERROR(IF(AL210="","",IF(AL210&lt;2,"Residential (&lt;2ac)",IF(AL210&lt;10,"Small Rural (2-10ac)",IF(AL210&lt;40,"Rural (10-40ac)",IF(AL210&lt;100,"Farm/Estate (40-100ac)","Large Farm (100+ac)"))))),"—")</f>
        <v/>
      </c>
      <c r="AZ210" s="21" t="n"/>
      <c r="BF210" s="21" t="n"/>
      <c r="BG210" s="21" t="n"/>
      <c r="BH210" s="22">
        <f>IFERROR(IF(AND(BF210&lt;&gt;"",BG210&lt;&gt;""),AVERAGE(BF210,BG210),""),"—")</f>
        <v/>
      </c>
      <c r="BK210" s="21" t="n"/>
      <c r="BM210" s="21" t="n"/>
      <c r="BN210" s="28">
        <f>IFERROR(IF(AND(BK210&lt;&gt;"",BM210&lt;&gt;""),IF(BM210&lt;BK210,1,0),""),"")</f>
        <v/>
      </c>
      <c r="BP210" s="21" t="n"/>
      <c r="BS210" s="29">
        <f>IFERROR(IF(AND(BH210&lt;&gt;"",BK210&lt;&gt;""),(BH210-BK210)/BK210,""),"—")</f>
        <v/>
      </c>
      <c r="BT210" s="29">
        <f>IFERROR(IF(AND(BH210&lt;&gt;"",BP210&lt;&gt;""),(BH210-BP210)/BP210,""),"—")</f>
        <v/>
      </c>
      <c r="BU210" s="29">
        <f>IFERROR(IF(AND(BK210&lt;&gt;"",BP210&lt;&gt;""),(BP210-BK210)/BK210,""),"—")</f>
        <v/>
      </c>
    </row>
    <row r="211">
      <c r="AK211" s="14">
        <f>IFERROR(IF(AND(AG211&lt;&gt;"",AH211&lt;&gt;""),AG211*AH211,IF(AI211&lt;&gt;"",AI211,IF(AJ211&lt;&gt;"",AJ211*43560,""))),"ERROR")</f>
        <v/>
      </c>
      <c r="AL211" s="15">
        <f>IFERROR(IF(AK211&lt;&gt;"",AK211/43560,""),"—")</f>
        <v/>
      </c>
      <c r="AN211" s="14">
        <f>IFERROR(IF(AL211="","",IF(AL211&lt;2,"Residential (&lt;2ac)",IF(AL211&lt;10,"Small Rural (2-10ac)",IF(AL211&lt;40,"Rural (10-40ac)",IF(AL211&lt;100,"Farm/Estate (40-100ac)","Large Farm (100+ac)"))))),"—")</f>
        <v/>
      </c>
      <c r="AZ211" s="21" t="n"/>
      <c r="BF211" s="21" t="n"/>
      <c r="BG211" s="21" t="n"/>
      <c r="BH211" s="22">
        <f>IFERROR(IF(AND(BF211&lt;&gt;"",BG211&lt;&gt;""),AVERAGE(BF211,BG211),""),"—")</f>
        <v/>
      </c>
      <c r="BK211" s="21" t="n"/>
      <c r="BM211" s="21" t="n"/>
      <c r="BN211" s="28">
        <f>IFERROR(IF(AND(BK211&lt;&gt;"",BM211&lt;&gt;""),IF(BM211&lt;BK211,1,0),""),"")</f>
        <v/>
      </c>
      <c r="BP211" s="21" t="n"/>
      <c r="BS211" s="29">
        <f>IFERROR(IF(AND(BH211&lt;&gt;"",BK211&lt;&gt;""),(BH211-BK211)/BK211,""),"—")</f>
        <v/>
      </c>
      <c r="BT211" s="29">
        <f>IFERROR(IF(AND(BH211&lt;&gt;"",BP211&lt;&gt;""),(BH211-BP211)/BP211,""),"—")</f>
        <v/>
      </c>
      <c r="BU211" s="29">
        <f>IFERROR(IF(AND(BK211&lt;&gt;"",BP211&lt;&gt;""),(BP211-BK211)/BK211,""),"—")</f>
        <v/>
      </c>
    </row>
    <row r="212">
      <c r="AK212" s="14">
        <f>IFERROR(IF(AND(AG212&lt;&gt;"",AH212&lt;&gt;""),AG212*AH212,IF(AI212&lt;&gt;"",AI212,IF(AJ212&lt;&gt;"",AJ212*43560,""))),"ERROR")</f>
        <v/>
      </c>
      <c r="AL212" s="15">
        <f>IFERROR(IF(AK212&lt;&gt;"",AK212/43560,""),"—")</f>
        <v/>
      </c>
      <c r="AN212" s="14">
        <f>IFERROR(IF(AL212="","",IF(AL212&lt;2,"Residential (&lt;2ac)",IF(AL212&lt;10,"Small Rural (2-10ac)",IF(AL212&lt;40,"Rural (10-40ac)",IF(AL212&lt;100,"Farm/Estate (40-100ac)","Large Farm (100+ac)"))))),"—")</f>
        <v/>
      </c>
      <c r="AZ212" s="21" t="n"/>
      <c r="BF212" s="21" t="n"/>
      <c r="BG212" s="21" t="n"/>
      <c r="BH212" s="22">
        <f>IFERROR(IF(AND(BF212&lt;&gt;"",BG212&lt;&gt;""),AVERAGE(BF212,BG212),""),"—")</f>
        <v/>
      </c>
      <c r="BK212" s="21" t="n"/>
      <c r="BM212" s="21" t="n"/>
      <c r="BN212" s="28">
        <f>IFERROR(IF(AND(BK212&lt;&gt;"",BM212&lt;&gt;""),IF(BM212&lt;BK212,1,0),""),"")</f>
        <v/>
      </c>
      <c r="BP212" s="21" t="n"/>
      <c r="BS212" s="29">
        <f>IFERROR(IF(AND(BH212&lt;&gt;"",BK212&lt;&gt;""),(BH212-BK212)/BK212,""),"—")</f>
        <v/>
      </c>
      <c r="BT212" s="29">
        <f>IFERROR(IF(AND(BH212&lt;&gt;"",BP212&lt;&gt;""),(BH212-BP212)/BP212,""),"—")</f>
        <v/>
      </c>
      <c r="BU212" s="29">
        <f>IFERROR(IF(AND(BK212&lt;&gt;"",BP212&lt;&gt;""),(BP212-BK212)/BK212,""),"—")</f>
        <v/>
      </c>
    </row>
    <row r="213">
      <c r="AK213" s="14">
        <f>IFERROR(IF(AND(AG213&lt;&gt;"",AH213&lt;&gt;""),AG213*AH213,IF(AI213&lt;&gt;"",AI213,IF(AJ213&lt;&gt;"",AJ213*43560,""))),"ERROR")</f>
        <v/>
      </c>
      <c r="AL213" s="15">
        <f>IFERROR(IF(AK213&lt;&gt;"",AK213/43560,""),"—")</f>
        <v/>
      </c>
      <c r="AN213" s="14">
        <f>IFERROR(IF(AL213="","",IF(AL213&lt;2,"Residential (&lt;2ac)",IF(AL213&lt;10,"Small Rural (2-10ac)",IF(AL213&lt;40,"Rural (10-40ac)",IF(AL213&lt;100,"Farm/Estate (40-100ac)","Large Farm (100+ac)"))))),"—")</f>
        <v/>
      </c>
      <c r="AZ213" s="21" t="n"/>
      <c r="BF213" s="21" t="n"/>
      <c r="BG213" s="21" t="n"/>
      <c r="BH213" s="22">
        <f>IFERROR(IF(AND(BF213&lt;&gt;"",BG213&lt;&gt;""),AVERAGE(BF213,BG213),""),"—")</f>
        <v/>
      </c>
      <c r="BK213" s="21" t="n"/>
      <c r="BM213" s="21" t="n"/>
      <c r="BN213" s="28">
        <f>IFERROR(IF(AND(BK213&lt;&gt;"",BM213&lt;&gt;""),IF(BM213&lt;BK213,1,0),""),"")</f>
        <v/>
      </c>
      <c r="BP213" s="21" t="n"/>
      <c r="BS213" s="29">
        <f>IFERROR(IF(AND(BH213&lt;&gt;"",BK213&lt;&gt;""),(BH213-BK213)/BK213,""),"—")</f>
        <v/>
      </c>
      <c r="BT213" s="29">
        <f>IFERROR(IF(AND(BH213&lt;&gt;"",BP213&lt;&gt;""),(BH213-BP213)/BP213,""),"—")</f>
        <v/>
      </c>
      <c r="BU213" s="29">
        <f>IFERROR(IF(AND(BK213&lt;&gt;"",BP213&lt;&gt;""),(BP213-BK213)/BK213,""),"—")</f>
        <v/>
      </c>
    </row>
    <row r="214">
      <c r="AK214" s="14">
        <f>IFERROR(IF(AND(AG214&lt;&gt;"",AH214&lt;&gt;""),AG214*AH214,IF(AI214&lt;&gt;"",AI214,IF(AJ214&lt;&gt;"",AJ214*43560,""))),"ERROR")</f>
        <v/>
      </c>
      <c r="AL214" s="15">
        <f>IFERROR(IF(AK214&lt;&gt;"",AK214/43560,""),"—")</f>
        <v/>
      </c>
      <c r="AN214" s="14">
        <f>IFERROR(IF(AL214="","",IF(AL214&lt;2,"Residential (&lt;2ac)",IF(AL214&lt;10,"Small Rural (2-10ac)",IF(AL214&lt;40,"Rural (10-40ac)",IF(AL214&lt;100,"Farm/Estate (40-100ac)","Large Farm (100+ac)"))))),"—")</f>
        <v/>
      </c>
      <c r="AZ214" s="21" t="n"/>
      <c r="BF214" s="21" t="n"/>
      <c r="BG214" s="21" t="n"/>
      <c r="BH214" s="22">
        <f>IFERROR(IF(AND(BF214&lt;&gt;"",BG214&lt;&gt;""),AVERAGE(BF214,BG214),""),"—")</f>
        <v/>
      </c>
      <c r="BK214" s="21" t="n"/>
      <c r="BM214" s="21" t="n"/>
      <c r="BN214" s="28">
        <f>IFERROR(IF(AND(BK214&lt;&gt;"",BM214&lt;&gt;""),IF(BM214&lt;BK214,1,0),""),"")</f>
        <v/>
      </c>
      <c r="BP214" s="21" t="n"/>
      <c r="BS214" s="29">
        <f>IFERROR(IF(AND(BH214&lt;&gt;"",BK214&lt;&gt;""),(BH214-BK214)/BK214,""),"—")</f>
        <v/>
      </c>
      <c r="BT214" s="29">
        <f>IFERROR(IF(AND(BH214&lt;&gt;"",BP214&lt;&gt;""),(BH214-BP214)/BP214,""),"—")</f>
        <v/>
      </c>
      <c r="BU214" s="29">
        <f>IFERROR(IF(AND(BK214&lt;&gt;"",BP214&lt;&gt;""),(BP214-BK214)/BK214,""),"—")</f>
        <v/>
      </c>
    </row>
    <row r="215">
      <c r="AK215" s="14">
        <f>IFERROR(IF(AND(AG215&lt;&gt;"",AH215&lt;&gt;""),AG215*AH215,IF(AI215&lt;&gt;"",AI215,IF(AJ215&lt;&gt;"",AJ215*43560,""))),"ERROR")</f>
        <v/>
      </c>
      <c r="AL215" s="15">
        <f>IFERROR(IF(AK215&lt;&gt;"",AK215/43560,""),"—")</f>
        <v/>
      </c>
      <c r="AN215" s="14">
        <f>IFERROR(IF(AL215="","",IF(AL215&lt;2,"Residential (&lt;2ac)",IF(AL215&lt;10,"Small Rural (2-10ac)",IF(AL215&lt;40,"Rural (10-40ac)",IF(AL215&lt;100,"Farm/Estate (40-100ac)","Large Farm (100+ac)"))))),"—")</f>
        <v/>
      </c>
      <c r="AZ215" s="21" t="n"/>
      <c r="BF215" s="21" t="n"/>
      <c r="BG215" s="21" t="n"/>
      <c r="BH215" s="22">
        <f>IFERROR(IF(AND(BF215&lt;&gt;"",BG215&lt;&gt;""),AVERAGE(BF215,BG215),""),"—")</f>
        <v/>
      </c>
      <c r="BK215" s="21" t="n"/>
      <c r="BM215" s="21" t="n"/>
      <c r="BN215" s="28">
        <f>IFERROR(IF(AND(BK215&lt;&gt;"",BM215&lt;&gt;""),IF(BM215&lt;BK215,1,0),""),"")</f>
        <v/>
      </c>
      <c r="BP215" s="21" t="n"/>
      <c r="BS215" s="29">
        <f>IFERROR(IF(AND(BH215&lt;&gt;"",BK215&lt;&gt;""),(BH215-BK215)/BK215,""),"—")</f>
        <v/>
      </c>
      <c r="BT215" s="29">
        <f>IFERROR(IF(AND(BH215&lt;&gt;"",BP215&lt;&gt;""),(BH215-BP215)/BP215,""),"—")</f>
        <v/>
      </c>
      <c r="BU215" s="29">
        <f>IFERROR(IF(AND(BK215&lt;&gt;"",BP215&lt;&gt;""),(BP215-BK215)/BK215,""),"—")</f>
        <v/>
      </c>
    </row>
    <row r="216">
      <c r="AK216" s="14">
        <f>IFERROR(IF(AND(AG216&lt;&gt;"",AH216&lt;&gt;""),AG216*AH216,IF(AI216&lt;&gt;"",AI216,IF(AJ216&lt;&gt;"",AJ216*43560,""))),"ERROR")</f>
        <v/>
      </c>
      <c r="AL216" s="15">
        <f>IFERROR(IF(AK216&lt;&gt;"",AK216/43560,""),"—")</f>
        <v/>
      </c>
      <c r="AN216" s="14">
        <f>IFERROR(IF(AL216="","",IF(AL216&lt;2,"Residential (&lt;2ac)",IF(AL216&lt;10,"Small Rural (2-10ac)",IF(AL216&lt;40,"Rural (10-40ac)",IF(AL216&lt;100,"Farm/Estate (40-100ac)","Large Farm (100+ac)"))))),"—")</f>
        <v/>
      </c>
      <c r="AZ216" s="21" t="n"/>
      <c r="BF216" s="21" t="n"/>
      <c r="BG216" s="21" t="n"/>
      <c r="BH216" s="22">
        <f>IFERROR(IF(AND(BF216&lt;&gt;"",BG216&lt;&gt;""),AVERAGE(BF216,BG216),""),"—")</f>
        <v/>
      </c>
      <c r="BK216" s="21" t="n"/>
      <c r="BM216" s="21" t="n"/>
      <c r="BN216" s="28">
        <f>IFERROR(IF(AND(BK216&lt;&gt;"",BM216&lt;&gt;""),IF(BM216&lt;BK216,1,0),""),"")</f>
        <v/>
      </c>
      <c r="BP216" s="21" t="n"/>
      <c r="BS216" s="29">
        <f>IFERROR(IF(AND(BH216&lt;&gt;"",BK216&lt;&gt;""),(BH216-BK216)/BK216,""),"—")</f>
        <v/>
      </c>
      <c r="BT216" s="29">
        <f>IFERROR(IF(AND(BH216&lt;&gt;"",BP216&lt;&gt;""),(BH216-BP216)/BP216,""),"—")</f>
        <v/>
      </c>
      <c r="BU216" s="29">
        <f>IFERROR(IF(AND(BK216&lt;&gt;"",BP216&lt;&gt;""),(BP216-BK216)/BK216,""),"—")</f>
        <v/>
      </c>
    </row>
    <row r="217">
      <c r="AK217" s="14">
        <f>IFERROR(IF(AND(AG217&lt;&gt;"",AH217&lt;&gt;""),AG217*AH217,IF(AI217&lt;&gt;"",AI217,IF(AJ217&lt;&gt;"",AJ217*43560,""))),"ERROR")</f>
        <v/>
      </c>
      <c r="AL217" s="15">
        <f>IFERROR(IF(AK217&lt;&gt;"",AK217/43560,""),"—")</f>
        <v/>
      </c>
      <c r="AN217" s="14">
        <f>IFERROR(IF(AL217="","",IF(AL217&lt;2,"Residential (&lt;2ac)",IF(AL217&lt;10,"Small Rural (2-10ac)",IF(AL217&lt;40,"Rural (10-40ac)",IF(AL217&lt;100,"Farm/Estate (40-100ac)","Large Farm (100+ac)"))))),"—")</f>
        <v/>
      </c>
      <c r="AZ217" s="21" t="n"/>
      <c r="BF217" s="21" t="n"/>
      <c r="BG217" s="21" t="n"/>
      <c r="BH217" s="22">
        <f>IFERROR(IF(AND(BF217&lt;&gt;"",BG217&lt;&gt;""),AVERAGE(BF217,BG217),""),"—")</f>
        <v/>
      </c>
      <c r="BK217" s="21" t="n"/>
      <c r="BM217" s="21" t="n"/>
      <c r="BN217" s="28">
        <f>IFERROR(IF(AND(BK217&lt;&gt;"",BM217&lt;&gt;""),IF(BM217&lt;BK217,1,0),""),"")</f>
        <v/>
      </c>
      <c r="BP217" s="21" t="n"/>
      <c r="BS217" s="29">
        <f>IFERROR(IF(AND(BH217&lt;&gt;"",BK217&lt;&gt;""),(BH217-BK217)/BK217,""),"—")</f>
        <v/>
      </c>
      <c r="BT217" s="29">
        <f>IFERROR(IF(AND(BH217&lt;&gt;"",BP217&lt;&gt;""),(BH217-BP217)/BP217,""),"—")</f>
        <v/>
      </c>
      <c r="BU217" s="29">
        <f>IFERROR(IF(AND(BK217&lt;&gt;"",BP217&lt;&gt;""),(BP217-BK217)/BK217,""),"—")</f>
        <v/>
      </c>
    </row>
    <row r="218">
      <c r="AK218" s="14">
        <f>IFERROR(IF(AND(AG218&lt;&gt;"",AH218&lt;&gt;""),AG218*AH218,IF(AI218&lt;&gt;"",AI218,IF(AJ218&lt;&gt;"",AJ218*43560,""))),"ERROR")</f>
        <v/>
      </c>
      <c r="AL218" s="15">
        <f>IFERROR(IF(AK218&lt;&gt;"",AK218/43560,""),"—")</f>
        <v/>
      </c>
      <c r="AN218" s="14">
        <f>IFERROR(IF(AL218="","",IF(AL218&lt;2,"Residential (&lt;2ac)",IF(AL218&lt;10,"Small Rural (2-10ac)",IF(AL218&lt;40,"Rural (10-40ac)",IF(AL218&lt;100,"Farm/Estate (40-100ac)","Large Farm (100+ac)"))))),"—")</f>
        <v/>
      </c>
      <c r="AZ218" s="21" t="n"/>
      <c r="BF218" s="21" t="n"/>
      <c r="BG218" s="21" t="n"/>
      <c r="BH218" s="22">
        <f>IFERROR(IF(AND(BF218&lt;&gt;"",BG218&lt;&gt;""),AVERAGE(BF218,BG218),""),"—")</f>
        <v/>
      </c>
      <c r="BK218" s="21" t="n"/>
      <c r="BM218" s="21" t="n"/>
      <c r="BN218" s="28">
        <f>IFERROR(IF(AND(BK218&lt;&gt;"",BM218&lt;&gt;""),IF(BM218&lt;BK218,1,0),""),"")</f>
        <v/>
      </c>
      <c r="BP218" s="21" t="n"/>
      <c r="BS218" s="29">
        <f>IFERROR(IF(AND(BH218&lt;&gt;"",BK218&lt;&gt;""),(BH218-BK218)/BK218,""),"—")</f>
        <v/>
      </c>
      <c r="BT218" s="29">
        <f>IFERROR(IF(AND(BH218&lt;&gt;"",BP218&lt;&gt;""),(BH218-BP218)/BP218,""),"—")</f>
        <v/>
      </c>
      <c r="BU218" s="29">
        <f>IFERROR(IF(AND(BK218&lt;&gt;"",BP218&lt;&gt;""),(BP218-BK218)/BK218,""),"—")</f>
        <v/>
      </c>
    </row>
    <row r="219">
      <c r="AK219" s="14">
        <f>IFERROR(IF(AND(AG219&lt;&gt;"",AH219&lt;&gt;""),AG219*AH219,IF(AI219&lt;&gt;"",AI219,IF(AJ219&lt;&gt;"",AJ219*43560,""))),"ERROR")</f>
        <v/>
      </c>
      <c r="AL219" s="15">
        <f>IFERROR(IF(AK219&lt;&gt;"",AK219/43560,""),"—")</f>
        <v/>
      </c>
      <c r="AN219" s="14">
        <f>IFERROR(IF(AL219="","",IF(AL219&lt;2,"Residential (&lt;2ac)",IF(AL219&lt;10,"Small Rural (2-10ac)",IF(AL219&lt;40,"Rural (10-40ac)",IF(AL219&lt;100,"Farm/Estate (40-100ac)","Large Farm (100+ac)"))))),"—")</f>
        <v/>
      </c>
      <c r="AZ219" s="21" t="n"/>
      <c r="BF219" s="21" t="n"/>
      <c r="BG219" s="21" t="n"/>
      <c r="BH219" s="22">
        <f>IFERROR(IF(AND(BF219&lt;&gt;"",BG219&lt;&gt;""),AVERAGE(BF219,BG219),""),"—")</f>
        <v/>
      </c>
      <c r="BK219" s="21" t="n"/>
      <c r="BM219" s="21" t="n"/>
      <c r="BN219" s="28">
        <f>IFERROR(IF(AND(BK219&lt;&gt;"",BM219&lt;&gt;""),IF(BM219&lt;BK219,1,0),""),"")</f>
        <v/>
      </c>
      <c r="BP219" s="21" t="n"/>
      <c r="BS219" s="29">
        <f>IFERROR(IF(AND(BH219&lt;&gt;"",BK219&lt;&gt;""),(BH219-BK219)/BK219,""),"—")</f>
        <v/>
      </c>
      <c r="BT219" s="29">
        <f>IFERROR(IF(AND(BH219&lt;&gt;"",BP219&lt;&gt;""),(BH219-BP219)/BP219,""),"—")</f>
        <v/>
      </c>
      <c r="BU219" s="29">
        <f>IFERROR(IF(AND(BK219&lt;&gt;"",BP219&lt;&gt;""),(BP219-BK219)/BK219,""),"—")</f>
        <v/>
      </c>
    </row>
    <row r="220">
      <c r="AK220" s="14">
        <f>IFERROR(IF(AND(AG220&lt;&gt;"",AH220&lt;&gt;""),AG220*AH220,IF(AI220&lt;&gt;"",AI220,IF(AJ220&lt;&gt;"",AJ220*43560,""))),"ERROR")</f>
        <v/>
      </c>
      <c r="AL220" s="15">
        <f>IFERROR(IF(AK220&lt;&gt;"",AK220/43560,""),"—")</f>
        <v/>
      </c>
      <c r="AN220" s="14">
        <f>IFERROR(IF(AL220="","",IF(AL220&lt;2,"Residential (&lt;2ac)",IF(AL220&lt;10,"Small Rural (2-10ac)",IF(AL220&lt;40,"Rural (10-40ac)",IF(AL220&lt;100,"Farm/Estate (40-100ac)","Large Farm (100+ac)"))))),"—")</f>
        <v/>
      </c>
      <c r="AZ220" s="21" t="n"/>
      <c r="BF220" s="21" t="n"/>
      <c r="BG220" s="21" t="n"/>
      <c r="BH220" s="22">
        <f>IFERROR(IF(AND(BF220&lt;&gt;"",BG220&lt;&gt;""),AVERAGE(BF220,BG220),""),"—")</f>
        <v/>
      </c>
      <c r="BK220" s="21" t="n"/>
      <c r="BM220" s="21" t="n"/>
      <c r="BN220" s="28">
        <f>IFERROR(IF(AND(BK220&lt;&gt;"",BM220&lt;&gt;""),IF(BM220&lt;BK220,1,0),""),"")</f>
        <v/>
      </c>
      <c r="BP220" s="21" t="n"/>
      <c r="BS220" s="29">
        <f>IFERROR(IF(AND(BH220&lt;&gt;"",BK220&lt;&gt;""),(BH220-BK220)/BK220,""),"—")</f>
        <v/>
      </c>
      <c r="BT220" s="29">
        <f>IFERROR(IF(AND(BH220&lt;&gt;"",BP220&lt;&gt;""),(BH220-BP220)/BP220,""),"—")</f>
        <v/>
      </c>
      <c r="BU220" s="29">
        <f>IFERROR(IF(AND(BK220&lt;&gt;"",BP220&lt;&gt;""),(BP220-BK220)/BK220,""),"—")</f>
        <v/>
      </c>
    </row>
    <row r="221">
      <c r="AK221" s="14">
        <f>IFERROR(IF(AND(AG221&lt;&gt;"",AH221&lt;&gt;""),AG221*AH221,IF(AI221&lt;&gt;"",AI221,IF(AJ221&lt;&gt;"",AJ221*43560,""))),"ERROR")</f>
        <v/>
      </c>
      <c r="AL221" s="15">
        <f>IFERROR(IF(AK221&lt;&gt;"",AK221/43560,""),"—")</f>
        <v/>
      </c>
      <c r="AN221" s="14">
        <f>IFERROR(IF(AL221="","",IF(AL221&lt;2,"Residential (&lt;2ac)",IF(AL221&lt;10,"Small Rural (2-10ac)",IF(AL221&lt;40,"Rural (10-40ac)",IF(AL221&lt;100,"Farm/Estate (40-100ac)","Large Farm (100+ac)"))))),"—")</f>
        <v/>
      </c>
      <c r="AZ221" s="21" t="n"/>
      <c r="BF221" s="21" t="n"/>
      <c r="BG221" s="21" t="n"/>
      <c r="BH221" s="22">
        <f>IFERROR(IF(AND(BF221&lt;&gt;"",BG221&lt;&gt;""),AVERAGE(BF221,BG221),""),"—")</f>
        <v/>
      </c>
      <c r="BK221" s="21" t="n"/>
      <c r="BM221" s="21" t="n"/>
      <c r="BN221" s="28">
        <f>IFERROR(IF(AND(BK221&lt;&gt;"",BM221&lt;&gt;""),IF(BM221&lt;BK221,1,0),""),"")</f>
        <v/>
      </c>
      <c r="BP221" s="21" t="n"/>
      <c r="BS221" s="29">
        <f>IFERROR(IF(AND(BH221&lt;&gt;"",BK221&lt;&gt;""),(BH221-BK221)/BK221,""),"—")</f>
        <v/>
      </c>
      <c r="BT221" s="29">
        <f>IFERROR(IF(AND(BH221&lt;&gt;"",BP221&lt;&gt;""),(BH221-BP221)/BP221,""),"—")</f>
        <v/>
      </c>
      <c r="BU221" s="29">
        <f>IFERROR(IF(AND(BK221&lt;&gt;"",BP221&lt;&gt;""),(BP221-BK221)/BK221,""),"—")</f>
        <v/>
      </c>
    </row>
    <row r="222">
      <c r="AK222" s="14">
        <f>IFERROR(IF(AND(AG222&lt;&gt;"",AH222&lt;&gt;""),AG222*AH222,IF(AI222&lt;&gt;"",AI222,IF(AJ222&lt;&gt;"",AJ222*43560,""))),"ERROR")</f>
        <v/>
      </c>
      <c r="AL222" s="15">
        <f>IFERROR(IF(AK222&lt;&gt;"",AK222/43560,""),"—")</f>
        <v/>
      </c>
      <c r="AN222" s="14">
        <f>IFERROR(IF(AL222="","",IF(AL222&lt;2,"Residential (&lt;2ac)",IF(AL222&lt;10,"Small Rural (2-10ac)",IF(AL222&lt;40,"Rural (10-40ac)",IF(AL222&lt;100,"Farm/Estate (40-100ac)","Large Farm (100+ac)"))))),"—")</f>
        <v/>
      </c>
      <c r="AZ222" s="21" t="n"/>
      <c r="BF222" s="21" t="n"/>
      <c r="BG222" s="21" t="n"/>
      <c r="BH222" s="22">
        <f>IFERROR(IF(AND(BF222&lt;&gt;"",BG222&lt;&gt;""),AVERAGE(BF222,BG222),""),"—")</f>
        <v/>
      </c>
      <c r="BK222" s="21" t="n"/>
      <c r="BM222" s="21" t="n"/>
      <c r="BN222" s="28">
        <f>IFERROR(IF(AND(BK222&lt;&gt;"",BM222&lt;&gt;""),IF(BM222&lt;BK222,1,0),""),"")</f>
        <v/>
      </c>
      <c r="BP222" s="21" t="n"/>
      <c r="BS222" s="29">
        <f>IFERROR(IF(AND(BH222&lt;&gt;"",BK222&lt;&gt;""),(BH222-BK222)/BK222,""),"—")</f>
        <v/>
      </c>
      <c r="BT222" s="29">
        <f>IFERROR(IF(AND(BH222&lt;&gt;"",BP222&lt;&gt;""),(BH222-BP222)/BP222,""),"—")</f>
        <v/>
      </c>
      <c r="BU222" s="29">
        <f>IFERROR(IF(AND(BK222&lt;&gt;"",BP222&lt;&gt;""),(BP222-BK222)/BK222,""),"—")</f>
        <v/>
      </c>
    </row>
    <row r="223">
      <c r="AK223" s="14">
        <f>IFERROR(IF(AND(AG223&lt;&gt;"",AH223&lt;&gt;""),AG223*AH223,IF(AI223&lt;&gt;"",AI223,IF(AJ223&lt;&gt;"",AJ223*43560,""))),"ERROR")</f>
        <v/>
      </c>
      <c r="AL223" s="15">
        <f>IFERROR(IF(AK223&lt;&gt;"",AK223/43560,""),"—")</f>
        <v/>
      </c>
      <c r="AN223" s="14">
        <f>IFERROR(IF(AL223="","",IF(AL223&lt;2,"Residential (&lt;2ac)",IF(AL223&lt;10,"Small Rural (2-10ac)",IF(AL223&lt;40,"Rural (10-40ac)",IF(AL223&lt;100,"Farm/Estate (40-100ac)","Large Farm (100+ac)"))))),"—")</f>
        <v/>
      </c>
      <c r="AZ223" s="21" t="n"/>
      <c r="BF223" s="21" t="n"/>
      <c r="BG223" s="21" t="n"/>
      <c r="BH223" s="22">
        <f>IFERROR(IF(AND(BF223&lt;&gt;"",BG223&lt;&gt;""),AVERAGE(BF223,BG223),""),"—")</f>
        <v/>
      </c>
      <c r="BK223" s="21" t="n"/>
      <c r="BM223" s="21" t="n"/>
      <c r="BN223" s="28">
        <f>IFERROR(IF(AND(BK223&lt;&gt;"",BM223&lt;&gt;""),IF(BM223&lt;BK223,1,0),""),"")</f>
        <v/>
      </c>
      <c r="BP223" s="21" t="n"/>
      <c r="BS223" s="29">
        <f>IFERROR(IF(AND(BH223&lt;&gt;"",BK223&lt;&gt;""),(BH223-BK223)/BK223,""),"—")</f>
        <v/>
      </c>
      <c r="BT223" s="29">
        <f>IFERROR(IF(AND(BH223&lt;&gt;"",BP223&lt;&gt;""),(BH223-BP223)/BP223,""),"—")</f>
        <v/>
      </c>
      <c r="BU223" s="29">
        <f>IFERROR(IF(AND(BK223&lt;&gt;"",BP223&lt;&gt;""),(BP223-BK223)/BK223,""),"—")</f>
        <v/>
      </c>
    </row>
    <row r="224">
      <c r="AK224" s="14">
        <f>IFERROR(IF(AND(AG224&lt;&gt;"",AH224&lt;&gt;""),AG224*AH224,IF(AI224&lt;&gt;"",AI224,IF(AJ224&lt;&gt;"",AJ224*43560,""))),"ERROR")</f>
        <v/>
      </c>
      <c r="AL224" s="15">
        <f>IFERROR(IF(AK224&lt;&gt;"",AK224/43560,""),"—")</f>
        <v/>
      </c>
      <c r="AN224" s="14">
        <f>IFERROR(IF(AL224="","",IF(AL224&lt;2,"Residential (&lt;2ac)",IF(AL224&lt;10,"Small Rural (2-10ac)",IF(AL224&lt;40,"Rural (10-40ac)",IF(AL224&lt;100,"Farm/Estate (40-100ac)","Large Farm (100+ac)"))))),"—")</f>
        <v/>
      </c>
      <c r="AZ224" s="21" t="n"/>
      <c r="BF224" s="21" t="n"/>
      <c r="BG224" s="21" t="n"/>
      <c r="BH224" s="22">
        <f>IFERROR(IF(AND(BF224&lt;&gt;"",BG224&lt;&gt;""),AVERAGE(BF224,BG224),""),"—")</f>
        <v/>
      </c>
      <c r="BK224" s="21" t="n"/>
      <c r="BM224" s="21" t="n"/>
      <c r="BN224" s="28">
        <f>IFERROR(IF(AND(BK224&lt;&gt;"",BM224&lt;&gt;""),IF(BM224&lt;BK224,1,0),""),"")</f>
        <v/>
      </c>
      <c r="BP224" s="21" t="n"/>
      <c r="BS224" s="29">
        <f>IFERROR(IF(AND(BH224&lt;&gt;"",BK224&lt;&gt;""),(BH224-BK224)/BK224,""),"—")</f>
        <v/>
      </c>
      <c r="BT224" s="29">
        <f>IFERROR(IF(AND(BH224&lt;&gt;"",BP224&lt;&gt;""),(BH224-BP224)/BP224,""),"—")</f>
        <v/>
      </c>
      <c r="BU224" s="29">
        <f>IFERROR(IF(AND(BK224&lt;&gt;"",BP224&lt;&gt;""),(BP224-BK224)/BK224,""),"—")</f>
        <v/>
      </c>
    </row>
    <row r="225">
      <c r="AK225" s="14">
        <f>IFERROR(IF(AND(AG225&lt;&gt;"",AH225&lt;&gt;""),AG225*AH225,IF(AI225&lt;&gt;"",AI225,IF(AJ225&lt;&gt;"",AJ225*43560,""))),"ERROR")</f>
        <v/>
      </c>
      <c r="AL225" s="15">
        <f>IFERROR(IF(AK225&lt;&gt;"",AK225/43560,""),"—")</f>
        <v/>
      </c>
      <c r="AN225" s="14">
        <f>IFERROR(IF(AL225="","",IF(AL225&lt;2,"Residential (&lt;2ac)",IF(AL225&lt;10,"Small Rural (2-10ac)",IF(AL225&lt;40,"Rural (10-40ac)",IF(AL225&lt;100,"Farm/Estate (40-100ac)","Large Farm (100+ac)"))))),"—")</f>
        <v/>
      </c>
      <c r="AZ225" s="21" t="n"/>
      <c r="BF225" s="21" t="n"/>
      <c r="BG225" s="21" t="n"/>
      <c r="BH225" s="22">
        <f>IFERROR(IF(AND(BF225&lt;&gt;"",BG225&lt;&gt;""),AVERAGE(BF225,BG225),""),"—")</f>
        <v/>
      </c>
      <c r="BK225" s="21" t="n"/>
      <c r="BM225" s="21" t="n"/>
      <c r="BN225" s="28">
        <f>IFERROR(IF(AND(BK225&lt;&gt;"",BM225&lt;&gt;""),IF(BM225&lt;BK225,1,0),""),"")</f>
        <v/>
      </c>
      <c r="BP225" s="21" t="n"/>
      <c r="BS225" s="29">
        <f>IFERROR(IF(AND(BH225&lt;&gt;"",BK225&lt;&gt;""),(BH225-BK225)/BK225,""),"—")</f>
        <v/>
      </c>
      <c r="BT225" s="29">
        <f>IFERROR(IF(AND(BH225&lt;&gt;"",BP225&lt;&gt;""),(BH225-BP225)/BP225,""),"—")</f>
        <v/>
      </c>
      <c r="BU225" s="29">
        <f>IFERROR(IF(AND(BK225&lt;&gt;"",BP225&lt;&gt;""),(BP225-BK225)/BK225,""),"—")</f>
        <v/>
      </c>
    </row>
    <row r="226">
      <c r="AK226" s="14">
        <f>IFERROR(IF(AND(AG226&lt;&gt;"",AH226&lt;&gt;""),AG226*AH226,IF(AI226&lt;&gt;"",AI226,IF(AJ226&lt;&gt;"",AJ226*43560,""))),"ERROR")</f>
        <v/>
      </c>
      <c r="AL226" s="15">
        <f>IFERROR(IF(AK226&lt;&gt;"",AK226/43560,""),"—")</f>
        <v/>
      </c>
      <c r="AN226" s="14">
        <f>IFERROR(IF(AL226="","",IF(AL226&lt;2,"Residential (&lt;2ac)",IF(AL226&lt;10,"Small Rural (2-10ac)",IF(AL226&lt;40,"Rural (10-40ac)",IF(AL226&lt;100,"Farm/Estate (40-100ac)","Large Farm (100+ac)"))))),"—")</f>
        <v/>
      </c>
      <c r="AZ226" s="21" t="n"/>
      <c r="BF226" s="21" t="n"/>
      <c r="BG226" s="21" t="n"/>
      <c r="BH226" s="22">
        <f>IFERROR(IF(AND(BF226&lt;&gt;"",BG226&lt;&gt;""),AVERAGE(BF226,BG226),""),"—")</f>
        <v/>
      </c>
      <c r="BK226" s="21" t="n"/>
      <c r="BM226" s="21" t="n"/>
      <c r="BN226" s="28">
        <f>IFERROR(IF(AND(BK226&lt;&gt;"",BM226&lt;&gt;""),IF(BM226&lt;BK226,1,0),""),"")</f>
        <v/>
      </c>
      <c r="BP226" s="21" t="n"/>
      <c r="BS226" s="29">
        <f>IFERROR(IF(AND(BH226&lt;&gt;"",BK226&lt;&gt;""),(BH226-BK226)/BK226,""),"—")</f>
        <v/>
      </c>
      <c r="BT226" s="29">
        <f>IFERROR(IF(AND(BH226&lt;&gt;"",BP226&lt;&gt;""),(BH226-BP226)/BP226,""),"—")</f>
        <v/>
      </c>
      <c r="BU226" s="29">
        <f>IFERROR(IF(AND(BK226&lt;&gt;"",BP226&lt;&gt;""),(BP226-BK226)/BK226,""),"—")</f>
        <v/>
      </c>
    </row>
    <row r="227">
      <c r="AK227" s="14">
        <f>IFERROR(IF(AND(AG227&lt;&gt;"",AH227&lt;&gt;""),AG227*AH227,IF(AI227&lt;&gt;"",AI227,IF(AJ227&lt;&gt;"",AJ227*43560,""))),"ERROR")</f>
        <v/>
      </c>
      <c r="AL227" s="15">
        <f>IFERROR(IF(AK227&lt;&gt;"",AK227/43560,""),"—")</f>
        <v/>
      </c>
      <c r="AN227" s="14">
        <f>IFERROR(IF(AL227="","",IF(AL227&lt;2,"Residential (&lt;2ac)",IF(AL227&lt;10,"Small Rural (2-10ac)",IF(AL227&lt;40,"Rural (10-40ac)",IF(AL227&lt;100,"Farm/Estate (40-100ac)","Large Farm (100+ac)"))))),"—")</f>
        <v/>
      </c>
      <c r="AZ227" s="21" t="n"/>
      <c r="BF227" s="21" t="n"/>
      <c r="BG227" s="21" t="n"/>
      <c r="BH227" s="22">
        <f>IFERROR(IF(AND(BF227&lt;&gt;"",BG227&lt;&gt;""),AVERAGE(BF227,BG227),""),"—")</f>
        <v/>
      </c>
      <c r="BK227" s="21" t="n"/>
      <c r="BM227" s="21" t="n"/>
      <c r="BN227" s="28">
        <f>IFERROR(IF(AND(BK227&lt;&gt;"",BM227&lt;&gt;""),IF(BM227&lt;BK227,1,0),""),"")</f>
        <v/>
      </c>
      <c r="BP227" s="21" t="n"/>
      <c r="BS227" s="29">
        <f>IFERROR(IF(AND(BH227&lt;&gt;"",BK227&lt;&gt;""),(BH227-BK227)/BK227,""),"—")</f>
        <v/>
      </c>
      <c r="BT227" s="29">
        <f>IFERROR(IF(AND(BH227&lt;&gt;"",BP227&lt;&gt;""),(BH227-BP227)/BP227,""),"—")</f>
        <v/>
      </c>
      <c r="BU227" s="29">
        <f>IFERROR(IF(AND(BK227&lt;&gt;"",BP227&lt;&gt;""),(BP227-BK227)/BK227,""),"—")</f>
        <v/>
      </c>
    </row>
    <row r="228">
      <c r="AK228" s="14">
        <f>IFERROR(IF(AND(AG228&lt;&gt;"",AH228&lt;&gt;""),AG228*AH228,IF(AI228&lt;&gt;"",AI228,IF(AJ228&lt;&gt;"",AJ228*43560,""))),"ERROR")</f>
        <v/>
      </c>
      <c r="AL228" s="15">
        <f>IFERROR(IF(AK228&lt;&gt;"",AK228/43560,""),"—")</f>
        <v/>
      </c>
      <c r="AN228" s="14">
        <f>IFERROR(IF(AL228="","",IF(AL228&lt;2,"Residential (&lt;2ac)",IF(AL228&lt;10,"Small Rural (2-10ac)",IF(AL228&lt;40,"Rural (10-40ac)",IF(AL228&lt;100,"Farm/Estate (40-100ac)","Large Farm (100+ac)"))))),"—")</f>
        <v/>
      </c>
      <c r="AZ228" s="21" t="n"/>
      <c r="BF228" s="21" t="n"/>
      <c r="BG228" s="21" t="n"/>
      <c r="BH228" s="22">
        <f>IFERROR(IF(AND(BF228&lt;&gt;"",BG228&lt;&gt;""),AVERAGE(BF228,BG228),""),"—")</f>
        <v/>
      </c>
      <c r="BK228" s="21" t="n"/>
      <c r="BM228" s="21" t="n"/>
      <c r="BN228" s="28">
        <f>IFERROR(IF(AND(BK228&lt;&gt;"",BM228&lt;&gt;""),IF(BM228&lt;BK228,1,0),""),"")</f>
        <v/>
      </c>
      <c r="BP228" s="21" t="n"/>
      <c r="BS228" s="29">
        <f>IFERROR(IF(AND(BH228&lt;&gt;"",BK228&lt;&gt;""),(BH228-BK228)/BK228,""),"—")</f>
        <v/>
      </c>
      <c r="BT228" s="29">
        <f>IFERROR(IF(AND(BH228&lt;&gt;"",BP228&lt;&gt;""),(BH228-BP228)/BP228,""),"—")</f>
        <v/>
      </c>
      <c r="BU228" s="29">
        <f>IFERROR(IF(AND(BK228&lt;&gt;"",BP228&lt;&gt;""),(BP228-BK228)/BK228,""),"—")</f>
        <v/>
      </c>
    </row>
    <row r="229">
      <c r="AK229" s="14">
        <f>IFERROR(IF(AND(AG229&lt;&gt;"",AH229&lt;&gt;""),AG229*AH229,IF(AI229&lt;&gt;"",AI229,IF(AJ229&lt;&gt;"",AJ229*43560,""))),"ERROR")</f>
        <v/>
      </c>
      <c r="AL229" s="15">
        <f>IFERROR(IF(AK229&lt;&gt;"",AK229/43560,""),"—")</f>
        <v/>
      </c>
      <c r="AN229" s="14">
        <f>IFERROR(IF(AL229="","",IF(AL229&lt;2,"Residential (&lt;2ac)",IF(AL229&lt;10,"Small Rural (2-10ac)",IF(AL229&lt;40,"Rural (10-40ac)",IF(AL229&lt;100,"Farm/Estate (40-100ac)","Large Farm (100+ac)"))))),"—")</f>
        <v/>
      </c>
      <c r="AZ229" s="21" t="n"/>
      <c r="BF229" s="21" t="n"/>
      <c r="BG229" s="21" t="n"/>
      <c r="BH229" s="22">
        <f>IFERROR(IF(AND(BF229&lt;&gt;"",BG229&lt;&gt;""),AVERAGE(BF229,BG229),""),"—")</f>
        <v/>
      </c>
      <c r="BK229" s="21" t="n"/>
      <c r="BM229" s="21" t="n"/>
      <c r="BN229" s="28">
        <f>IFERROR(IF(AND(BK229&lt;&gt;"",BM229&lt;&gt;""),IF(BM229&lt;BK229,1,0),""),"")</f>
        <v/>
      </c>
      <c r="BP229" s="21" t="n"/>
      <c r="BS229" s="29">
        <f>IFERROR(IF(AND(BH229&lt;&gt;"",BK229&lt;&gt;""),(BH229-BK229)/BK229,""),"—")</f>
        <v/>
      </c>
      <c r="BT229" s="29">
        <f>IFERROR(IF(AND(BH229&lt;&gt;"",BP229&lt;&gt;""),(BH229-BP229)/BP229,""),"—")</f>
        <v/>
      </c>
      <c r="BU229" s="29">
        <f>IFERROR(IF(AND(BK229&lt;&gt;"",BP229&lt;&gt;""),(BP229-BK229)/BK229,""),"—")</f>
        <v/>
      </c>
    </row>
    <row r="230">
      <c r="AK230" s="14">
        <f>IFERROR(IF(AND(AG230&lt;&gt;"",AH230&lt;&gt;""),AG230*AH230,IF(AI230&lt;&gt;"",AI230,IF(AJ230&lt;&gt;"",AJ230*43560,""))),"ERROR")</f>
        <v/>
      </c>
      <c r="AL230" s="15">
        <f>IFERROR(IF(AK230&lt;&gt;"",AK230/43560,""),"—")</f>
        <v/>
      </c>
      <c r="AN230" s="14">
        <f>IFERROR(IF(AL230="","",IF(AL230&lt;2,"Residential (&lt;2ac)",IF(AL230&lt;10,"Small Rural (2-10ac)",IF(AL230&lt;40,"Rural (10-40ac)",IF(AL230&lt;100,"Farm/Estate (40-100ac)","Large Farm (100+ac)"))))),"—")</f>
        <v/>
      </c>
      <c r="AZ230" s="21" t="n"/>
      <c r="BF230" s="21" t="n"/>
      <c r="BG230" s="21" t="n"/>
      <c r="BH230" s="22">
        <f>IFERROR(IF(AND(BF230&lt;&gt;"",BG230&lt;&gt;""),AVERAGE(BF230,BG230),""),"—")</f>
        <v/>
      </c>
      <c r="BK230" s="21" t="n"/>
      <c r="BM230" s="21" t="n"/>
      <c r="BN230" s="28">
        <f>IFERROR(IF(AND(BK230&lt;&gt;"",BM230&lt;&gt;""),IF(BM230&lt;BK230,1,0),""),"")</f>
        <v/>
      </c>
      <c r="BP230" s="21" t="n"/>
      <c r="BS230" s="29">
        <f>IFERROR(IF(AND(BH230&lt;&gt;"",BK230&lt;&gt;""),(BH230-BK230)/BK230,""),"—")</f>
        <v/>
      </c>
      <c r="BT230" s="29">
        <f>IFERROR(IF(AND(BH230&lt;&gt;"",BP230&lt;&gt;""),(BH230-BP230)/BP230,""),"—")</f>
        <v/>
      </c>
      <c r="BU230" s="29">
        <f>IFERROR(IF(AND(BK230&lt;&gt;"",BP230&lt;&gt;""),(BP230-BK230)/BK230,""),"—")</f>
        <v/>
      </c>
    </row>
    <row r="231">
      <c r="AK231" s="14">
        <f>IFERROR(IF(AND(AG231&lt;&gt;"",AH231&lt;&gt;""),AG231*AH231,IF(AI231&lt;&gt;"",AI231,IF(AJ231&lt;&gt;"",AJ231*43560,""))),"ERROR")</f>
        <v/>
      </c>
      <c r="AL231" s="15">
        <f>IFERROR(IF(AK231&lt;&gt;"",AK231/43560,""),"—")</f>
        <v/>
      </c>
      <c r="AN231" s="14">
        <f>IFERROR(IF(AL231="","",IF(AL231&lt;2,"Residential (&lt;2ac)",IF(AL231&lt;10,"Small Rural (2-10ac)",IF(AL231&lt;40,"Rural (10-40ac)",IF(AL231&lt;100,"Farm/Estate (40-100ac)","Large Farm (100+ac)"))))),"—")</f>
        <v/>
      </c>
      <c r="AZ231" s="21" t="n"/>
      <c r="BF231" s="21" t="n"/>
      <c r="BG231" s="21" t="n"/>
      <c r="BH231" s="22">
        <f>IFERROR(IF(AND(BF231&lt;&gt;"",BG231&lt;&gt;""),AVERAGE(BF231,BG231),""),"—")</f>
        <v/>
      </c>
      <c r="BK231" s="21" t="n"/>
      <c r="BM231" s="21" t="n"/>
      <c r="BN231" s="28">
        <f>IFERROR(IF(AND(BK231&lt;&gt;"",BM231&lt;&gt;""),IF(BM231&lt;BK231,1,0),""),"")</f>
        <v/>
      </c>
      <c r="BP231" s="21" t="n"/>
      <c r="BS231" s="29">
        <f>IFERROR(IF(AND(BH231&lt;&gt;"",BK231&lt;&gt;""),(BH231-BK231)/BK231,""),"—")</f>
        <v/>
      </c>
      <c r="BT231" s="29">
        <f>IFERROR(IF(AND(BH231&lt;&gt;"",BP231&lt;&gt;""),(BH231-BP231)/BP231,""),"—")</f>
        <v/>
      </c>
      <c r="BU231" s="29">
        <f>IFERROR(IF(AND(BK231&lt;&gt;"",BP231&lt;&gt;""),(BP231-BK231)/BK231,""),"—")</f>
        <v/>
      </c>
    </row>
    <row r="232">
      <c r="AK232" s="14">
        <f>IFERROR(IF(AND(AG232&lt;&gt;"",AH232&lt;&gt;""),AG232*AH232,IF(AI232&lt;&gt;"",AI232,IF(AJ232&lt;&gt;"",AJ232*43560,""))),"ERROR")</f>
        <v/>
      </c>
      <c r="AL232" s="15">
        <f>IFERROR(IF(AK232&lt;&gt;"",AK232/43560,""),"—")</f>
        <v/>
      </c>
      <c r="AN232" s="14">
        <f>IFERROR(IF(AL232="","",IF(AL232&lt;2,"Residential (&lt;2ac)",IF(AL232&lt;10,"Small Rural (2-10ac)",IF(AL232&lt;40,"Rural (10-40ac)",IF(AL232&lt;100,"Farm/Estate (40-100ac)","Large Farm (100+ac)"))))),"—")</f>
        <v/>
      </c>
      <c r="AZ232" s="21" t="n"/>
      <c r="BF232" s="21" t="n"/>
      <c r="BG232" s="21" t="n"/>
      <c r="BH232" s="22">
        <f>IFERROR(IF(AND(BF232&lt;&gt;"",BG232&lt;&gt;""),AVERAGE(BF232,BG232),""),"—")</f>
        <v/>
      </c>
      <c r="BK232" s="21" t="n"/>
      <c r="BM232" s="21" t="n"/>
      <c r="BN232" s="28">
        <f>IFERROR(IF(AND(BK232&lt;&gt;"",BM232&lt;&gt;""),IF(BM232&lt;BK232,1,0),""),"")</f>
        <v/>
      </c>
      <c r="BP232" s="21" t="n"/>
      <c r="BS232" s="29">
        <f>IFERROR(IF(AND(BH232&lt;&gt;"",BK232&lt;&gt;""),(BH232-BK232)/BK232,""),"—")</f>
        <v/>
      </c>
      <c r="BT232" s="29">
        <f>IFERROR(IF(AND(BH232&lt;&gt;"",BP232&lt;&gt;""),(BH232-BP232)/BP232,""),"—")</f>
        <v/>
      </c>
      <c r="BU232" s="29">
        <f>IFERROR(IF(AND(BK232&lt;&gt;"",BP232&lt;&gt;""),(BP232-BK232)/BK232,""),"—")</f>
        <v/>
      </c>
    </row>
    <row r="233">
      <c r="AK233" s="14">
        <f>IFERROR(IF(AND(AG233&lt;&gt;"",AH233&lt;&gt;""),AG233*AH233,IF(AI233&lt;&gt;"",AI233,IF(AJ233&lt;&gt;"",AJ233*43560,""))),"ERROR")</f>
        <v/>
      </c>
      <c r="AL233" s="15">
        <f>IFERROR(IF(AK233&lt;&gt;"",AK233/43560,""),"—")</f>
        <v/>
      </c>
      <c r="AN233" s="14">
        <f>IFERROR(IF(AL233="","",IF(AL233&lt;2,"Residential (&lt;2ac)",IF(AL233&lt;10,"Small Rural (2-10ac)",IF(AL233&lt;40,"Rural (10-40ac)",IF(AL233&lt;100,"Farm/Estate (40-100ac)","Large Farm (100+ac)"))))),"—")</f>
        <v/>
      </c>
      <c r="AZ233" s="21" t="n"/>
      <c r="BF233" s="21" t="n"/>
      <c r="BG233" s="21" t="n"/>
      <c r="BH233" s="22">
        <f>IFERROR(IF(AND(BF233&lt;&gt;"",BG233&lt;&gt;""),AVERAGE(BF233,BG233),""),"—")</f>
        <v/>
      </c>
      <c r="BK233" s="21" t="n"/>
      <c r="BM233" s="21" t="n"/>
      <c r="BN233" s="28">
        <f>IFERROR(IF(AND(BK233&lt;&gt;"",BM233&lt;&gt;""),IF(BM233&lt;BK233,1,0),""),"")</f>
        <v/>
      </c>
      <c r="BP233" s="21" t="n"/>
      <c r="BS233" s="29">
        <f>IFERROR(IF(AND(BH233&lt;&gt;"",BK233&lt;&gt;""),(BH233-BK233)/BK233,""),"—")</f>
        <v/>
      </c>
      <c r="BT233" s="29">
        <f>IFERROR(IF(AND(BH233&lt;&gt;"",BP233&lt;&gt;""),(BH233-BP233)/BP233,""),"—")</f>
        <v/>
      </c>
      <c r="BU233" s="29">
        <f>IFERROR(IF(AND(BK233&lt;&gt;"",BP233&lt;&gt;""),(BP233-BK233)/BK233,""),"—")</f>
        <v/>
      </c>
    </row>
    <row r="234">
      <c r="AK234" s="14">
        <f>IFERROR(IF(AND(AG234&lt;&gt;"",AH234&lt;&gt;""),AG234*AH234,IF(AI234&lt;&gt;"",AI234,IF(AJ234&lt;&gt;"",AJ234*43560,""))),"ERROR")</f>
        <v/>
      </c>
      <c r="AL234" s="15">
        <f>IFERROR(IF(AK234&lt;&gt;"",AK234/43560,""),"—")</f>
        <v/>
      </c>
      <c r="AN234" s="14">
        <f>IFERROR(IF(AL234="","",IF(AL234&lt;2,"Residential (&lt;2ac)",IF(AL234&lt;10,"Small Rural (2-10ac)",IF(AL234&lt;40,"Rural (10-40ac)",IF(AL234&lt;100,"Farm/Estate (40-100ac)","Large Farm (100+ac)"))))),"—")</f>
        <v/>
      </c>
      <c r="AZ234" s="21" t="n"/>
      <c r="BF234" s="21" t="n"/>
      <c r="BG234" s="21" t="n"/>
      <c r="BH234" s="22">
        <f>IFERROR(IF(AND(BF234&lt;&gt;"",BG234&lt;&gt;""),AVERAGE(BF234,BG234),""),"—")</f>
        <v/>
      </c>
      <c r="BK234" s="21" t="n"/>
      <c r="BM234" s="21" t="n"/>
      <c r="BN234" s="28">
        <f>IFERROR(IF(AND(BK234&lt;&gt;"",BM234&lt;&gt;""),IF(BM234&lt;BK234,1,0),""),"")</f>
        <v/>
      </c>
      <c r="BP234" s="21" t="n"/>
      <c r="BS234" s="29">
        <f>IFERROR(IF(AND(BH234&lt;&gt;"",BK234&lt;&gt;""),(BH234-BK234)/BK234,""),"—")</f>
        <v/>
      </c>
      <c r="BT234" s="29">
        <f>IFERROR(IF(AND(BH234&lt;&gt;"",BP234&lt;&gt;""),(BH234-BP234)/BP234,""),"—")</f>
        <v/>
      </c>
      <c r="BU234" s="29">
        <f>IFERROR(IF(AND(BK234&lt;&gt;"",BP234&lt;&gt;""),(BP234-BK234)/BK234,""),"—")</f>
        <v/>
      </c>
    </row>
    <row r="235">
      <c r="AK235" s="14">
        <f>IFERROR(IF(AND(AG235&lt;&gt;"",AH235&lt;&gt;""),AG235*AH235,IF(AI235&lt;&gt;"",AI235,IF(AJ235&lt;&gt;"",AJ235*43560,""))),"ERROR")</f>
        <v/>
      </c>
      <c r="AL235" s="15">
        <f>IFERROR(IF(AK235&lt;&gt;"",AK235/43560,""),"—")</f>
        <v/>
      </c>
      <c r="AN235" s="14">
        <f>IFERROR(IF(AL235="","",IF(AL235&lt;2,"Residential (&lt;2ac)",IF(AL235&lt;10,"Small Rural (2-10ac)",IF(AL235&lt;40,"Rural (10-40ac)",IF(AL235&lt;100,"Farm/Estate (40-100ac)","Large Farm (100+ac)"))))),"—")</f>
        <v/>
      </c>
      <c r="AZ235" s="21" t="n"/>
      <c r="BF235" s="21" t="n"/>
      <c r="BG235" s="21" t="n"/>
      <c r="BH235" s="22">
        <f>IFERROR(IF(AND(BF235&lt;&gt;"",BG235&lt;&gt;""),AVERAGE(BF235,BG235),""),"—")</f>
        <v/>
      </c>
      <c r="BK235" s="21" t="n"/>
      <c r="BM235" s="21" t="n"/>
      <c r="BN235" s="28">
        <f>IFERROR(IF(AND(BK235&lt;&gt;"",BM235&lt;&gt;""),IF(BM235&lt;BK235,1,0),""),"")</f>
        <v/>
      </c>
      <c r="BP235" s="21" t="n"/>
      <c r="BS235" s="29">
        <f>IFERROR(IF(AND(BH235&lt;&gt;"",BK235&lt;&gt;""),(BH235-BK235)/BK235,""),"—")</f>
        <v/>
      </c>
      <c r="BT235" s="29">
        <f>IFERROR(IF(AND(BH235&lt;&gt;"",BP235&lt;&gt;""),(BH235-BP235)/BP235,""),"—")</f>
        <v/>
      </c>
      <c r="BU235" s="29">
        <f>IFERROR(IF(AND(BK235&lt;&gt;"",BP235&lt;&gt;""),(BP235-BK235)/BK235,""),"—")</f>
        <v/>
      </c>
    </row>
    <row r="236">
      <c r="AK236" s="14">
        <f>IFERROR(IF(AND(AG236&lt;&gt;"",AH236&lt;&gt;""),AG236*AH236,IF(AI236&lt;&gt;"",AI236,IF(AJ236&lt;&gt;"",AJ236*43560,""))),"ERROR")</f>
        <v/>
      </c>
      <c r="AL236" s="15">
        <f>IFERROR(IF(AK236&lt;&gt;"",AK236/43560,""),"—")</f>
        <v/>
      </c>
      <c r="AN236" s="14">
        <f>IFERROR(IF(AL236="","",IF(AL236&lt;2,"Residential (&lt;2ac)",IF(AL236&lt;10,"Small Rural (2-10ac)",IF(AL236&lt;40,"Rural (10-40ac)",IF(AL236&lt;100,"Farm/Estate (40-100ac)","Large Farm (100+ac)"))))),"—")</f>
        <v/>
      </c>
      <c r="AZ236" s="21" t="n"/>
      <c r="BF236" s="21" t="n"/>
      <c r="BG236" s="21" t="n"/>
      <c r="BH236" s="22">
        <f>IFERROR(IF(AND(BF236&lt;&gt;"",BG236&lt;&gt;""),AVERAGE(BF236,BG236),""),"—")</f>
        <v/>
      </c>
      <c r="BK236" s="21" t="n"/>
      <c r="BM236" s="21" t="n"/>
      <c r="BN236" s="28">
        <f>IFERROR(IF(AND(BK236&lt;&gt;"",BM236&lt;&gt;""),IF(BM236&lt;BK236,1,0),""),"")</f>
        <v/>
      </c>
      <c r="BP236" s="21" t="n"/>
      <c r="BS236" s="29">
        <f>IFERROR(IF(AND(BH236&lt;&gt;"",BK236&lt;&gt;""),(BH236-BK236)/BK236,""),"—")</f>
        <v/>
      </c>
      <c r="BT236" s="29">
        <f>IFERROR(IF(AND(BH236&lt;&gt;"",BP236&lt;&gt;""),(BH236-BP236)/BP236,""),"—")</f>
        <v/>
      </c>
      <c r="BU236" s="29">
        <f>IFERROR(IF(AND(BK236&lt;&gt;"",BP236&lt;&gt;""),(BP236-BK236)/BK236,""),"—")</f>
        <v/>
      </c>
    </row>
    <row r="237">
      <c r="AK237" s="14">
        <f>IFERROR(IF(AND(AG237&lt;&gt;"",AH237&lt;&gt;""),AG237*AH237,IF(AI237&lt;&gt;"",AI237,IF(AJ237&lt;&gt;"",AJ237*43560,""))),"ERROR")</f>
        <v/>
      </c>
      <c r="AL237" s="15">
        <f>IFERROR(IF(AK237&lt;&gt;"",AK237/43560,""),"—")</f>
        <v/>
      </c>
      <c r="AN237" s="14">
        <f>IFERROR(IF(AL237="","",IF(AL237&lt;2,"Residential (&lt;2ac)",IF(AL237&lt;10,"Small Rural (2-10ac)",IF(AL237&lt;40,"Rural (10-40ac)",IF(AL237&lt;100,"Farm/Estate (40-100ac)","Large Farm (100+ac)"))))),"—")</f>
        <v/>
      </c>
      <c r="AZ237" s="21" t="n"/>
      <c r="BF237" s="21" t="n"/>
      <c r="BG237" s="21" t="n"/>
      <c r="BH237" s="22">
        <f>IFERROR(IF(AND(BF237&lt;&gt;"",BG237&lt;&gt;""),AVERAGE(BF237,BG237),""),"—")</f>
        <v/>
      </c>
      <c r="BK237" s="21" t="n"/>
      <c r="BM237" s="21" t="n"/>
      <c r="BN237" s="28">
        <f>IFERROR(IF(AND(BK237&lt;&gt;"",BM237&lt;&gt;""),IF(BM237&lt;BK237,1,0),""),"")</f>
        <v/>
      </c>
      <c r="BP237" s="21" t="n"/>
      <c r="BS237" s="29">
        <f>IFERROR(IF(AND(BH237&lt;&gt;"",BK237&lt;&gt;""),(BH237-BK237)/BK237,""),"—")</f>
        <v/>
      </c>
      <c r="BT237" s="29">
        <f>IFERROR(IF(AND(BH237&lt;&gt;"",BP237&lt;&gt;""),(BH237-BP237)/BP237,""),"—")</f>
        <v/>
      </c>
      <c r="BU237" s="29">
        <f>IFERROR(IF(AND(BK237&lt;&gt;"",BP237&lt;&gt;""),(BP237-BK237)/BK237,""),"—")</f>
        <v/>
      </c>
    </row>
    <row r="238">
      <c r="AK238" s="14">
        <f>IFERROR(IF(AND(AG238&lt;&gt;"",AH238&lt;&gt;""),AG238*AH238,IF(AI238&lt;&gt;"",AI238,IF(AJ238&lt;&gt;"",AJ238*43560,""))),"ERROR")</f>
        <v/>
      </c>
      <c r="AL238" s="15">
        <f>IFERROR(IF(AK238&lt;&gt;"",AK238/43560,""),"—")</f>
        <v/>
      </c>
      <c r="AN238" s="14">
        <f>IFERROR(IF(AL238="","",IF(AL238&lt;2,"Residential (&lt;2ac)",IF(AL238&lt;10,"Small Rural (2-10ac)",IF(AL238&lt;40,"Rural (10-40ac)",IF(AL238&lt;100,"Farm/Estate (40-100ac)","Large Farm (100+ac)"))))),"—")</f>
        <v/>
      </c>
      <c r="AZ238" s="21" t="n"/>
      <c r="BF238" s="21" t="n"/>
      <c r="BG238" s="21" t="n"/>
      <c r="BH238" s="22">
        <f>IFERROR(IF(AND(BF238&lt;&gt;"",BG238&lt;&gt;""),AVERAGE(BF238,BG238),""),"—")</f>
        <v/>
      </c>
      <c r="BK238" s="21" t="n"/>
      <c r="BM238" s="21" t="n"/>
      <c r="BN238" s="28">
        <f>IFERROR(IF(AND(BK238&lt;&gt;"",BM238&lt;&gt;""),IF(BM238&lt;BK238,1,0),""),"")</f>
        <v/>
      </c>
      <c r="BP238" s="21" t="n"/>
      <c r="BS238" s="29">
        <f>IFERROR(IF(AND(BH238&lt;&gt;"",BK238&lt;&gt;""),(BH238-BK238)/BK238,""),"—")</f>
        <v/>
      </c>
      <c r="BT238" s="29">
        <f>IFERROR(IF(AND(BH238&lt;&gt;"",BP238&lt;&gt;""),(BH238-BP238)/BP238,""),"—")</f>
        <v/>
      </c>
      <c r="BU238" s="29">
        <f>IFERROR(IF(AND(BK238&lt;&gt;"",BP238&lt;&gt;""),(BP238-BK238)/BK238,""),"—")</f>
        <v/>
      </c>
    </row>
    <row r="239">
      <c r="AK239" s="14">
        <f>IFERROR(IF(AND(AG239&lt;&gt;"",AH239&lt;&gt;""),AG239*AH239,IF(AI239&lt;&gt;"",AI239,IF(AJ239&lt;&gt;"",AJ239*43560,""))),"ERROR")</f>
        <v/>
      </c>
      <c r="AL239" s="15">
        <f>IFERROR(IF(AK239&lt;&gt;"",AK239/43560,""),"—")</f>
        <v/>
      </c>
      <c r="AN239" s="14">
        <f>IFERROR(IF(AL239="","",IF(AL239&lt;2,"Residential (&lt;2ac)",IF(AL239&lt;10,"Small Rural (2-10ac)",IF(AL239&lt;40,"Rural (10-40ac)",IF(AL239&lt;100,"Farm/Estate (40-100ac)","Large Farm (100+ac)"))))),"—")</f>
        <v/>
      </c>
      <c r="AZ239" s="21" t="n"/>
      <c r="BF239" s="21" t="n"/>
      <c r="BG239" s="21" t="n"/>
      <c r="BH239" s="22">
        <f>IFERROR(IF(AND(BF239&lt;&gt;"",BG239&lt;&gt;""),AVERAGE(BF239,BG239),""),"—")</f>
        <v/>
      </c>
      <c r="BK239" s="21" t="n"/>
      <c r="BM239" s="21" t="n"/>
      <c r="BN239" s="28">
        <f>IFERROR(IF(AND(BK239&lt;&gt;"",BM239&lt;&gt;""),IF(BM239&lt;BK239,1,0),""),"")</f>
        <v/>
      </c>
      <c r="BP239" s="21" t="n"/>
      <c r="BS239" s="29">
        <f>IFERROR(IF(AND(BH239&lt;&gt;"",BK239&lt;&gt;""),(BH239-BK239)/BK239,""),"—")</f>
        <v/>
      </c>
      <c r="BT239" s="29">
        <f>IFERROR(IF(AND(BH239&lt;&gt;"",BP239&lt;&gt;""),(BH239-BP239)/BP239,""),"—")</f>
        <v/>
      </c>
      <c r="BU239" s="29">
        <f>IFERROR(IF(AND(BK239&lt;&gt;"",BP239&lt;&gt;""),(BP239-BK239)/BK239,""),"—")</f>
        <v/>
      </c>
    </row>
    <row r="240">
      <c r="AK240" s="14">
        <f>IFERROR(IF(AND(AG240&lt;&gt;"",AH240&lt;&gt;""),AG240*AH240,IF(AI240&lt;&gt;"",AI240,IF(AJ240&lt;&gt;"",AJ240*43560,""))),"ERROR")</f>
        <v/>
      </c>
      <c r="AL240" s="15">
        <f>IFERROR(IF(AK240&lt;&gt;"",AK240/43560,""),"—")</f>
        <v/>
      </c>
      <c r="AN240" s="14">
        <f>IFERROR(IF(AL240="","",IF(AL240&lt;2,"Residential (&lt;2ac)",IF(AL240&lt;10,"Small Rural (2-10ac)",IF(AL240&lt;40,"Rural (10-40ac)",IF(AL240&lt;100,"Farm/Estate (40-100ac)","Large Farm (100+ac)"))))),"—")</f>
        <v/>
      </c>
      <c r="AZ240" s="21" t="n"/>
      <c r="BF240" s="21" t="n"/>
      <c r="BG240" s="21" t="n"/>
      <c r="BH240" s="22">
        <f>IFERROR(IF(AND(BF240&lt;&gt;"",BG240&lt;&gt;""),AVERAGE(BF240,BG240),""),"—")</f>
        <v/>
      </c>
      <c r="BK240" s="21" t="n"/>
      <c r="BM240" s="21" t="n"/>
      <c r="BN240" s="28">
        <f>IFERROR(IF(AND(BK240&lt;&gt;"",BM240&lt;&gt;""),IF(BM240&lt;BK240,1,0),""),"")</f>
        <v/>
      </c>
      <c r="BP240" s="21" t="n"/>
      <c r="BS240" s="29">
        <f>IFERROR(IF(AND(BH240&lt;&gt;"",BK240&lt;&gt;""),(BH240-BK240)/BK240,""),"—")</f>
        <v/>
      </c>
      <c r="BT240" s="29">
        <f>IFERROR(IF(AND(BH240&lt;&gt;"",BP240&lt;&gt;""),(BH240-BP240)/BP240,""),"—")</f>
        <v/>
      </c>
      <c r="BU240" s="29">
        <f>IFERROR(IF(AND(BK240&lt;&gt;"",BP240&lt;&gt;""),(BP240-BK240)/BK240,""),"—")</f>
        <v/>
      </c>
    </row>
    <row r="241">
      <c r="AK241" s="14">
        <f>IFERROR(IF(AND(AG241&lt;&gt;"",AH241&lt;&gt;""),AG241*AH241,IF(AI241&lt;&gt;"",AI241,IF(AJ241&lt;&gt;"",AJ241*43560,""))),"ERROR")</f>
        <v/>
      </c>
      <c r="AL241" s="15">
        <f>IFERROR(IF(AK241&lt;&gt;"",AK241/43560,""),"—")</f>
        <v/>
      </c>
      <c r="AN241" s="14">
        <f>IFERROR(IF(AL241="","",IF(AL241&lt;2,"Residential (&lt;2ac)",IF(AL241&lt;10,"Small Rural (2-10ac)",IF(AL241&lt;40,"Rural (10-40ac)",IF(AL241&lt;100,"Farm/Estate (40-100ac)","Large Farm (100+ac)"))))),"—")</f>
        <v/>
      </c>
      <c r="AZ241" s="21" t="n"/>
      <c r="BF241" s="21" t="n"/>
      <c r="BG241" s="21" t="n"/>
      <c r="BH241" s="22">
        <f>IFERROR(IF(AND(BF241&lt;&gt;"",BG241&lt;&gt;""),AVERAGE(BF241,BG241),""),"—")</f>
        <v/>
      </c>
      <c r="BK241" s="21" t="n"/>
      <c r="BM241" s="21" t="n"/>
      <c r="BN241" s="28">
        <f>IFERROR(IF(AND(BK241&lt;&gt;"",BM241&lt;&gt;""),IF(BM241&lt;BK241,1,0),""),"")</f>
        <v/>
      </c>
      <c r="BP241" s="21" t="n"/>
      <c r="BS241" s="29">
        <f>IFERROR(IF(AND(BH241&lt;&gt;"",BK241&lt;&gt;""),(BH241-BK241)/BK241,""),"—")</f>
        <v/>
      </c>
      <c r="BT241" s="29">
        <f>IFERROR(IF(AND(BH241&lt;&gt;"",BP241&lt;&gt;""),(BH241-BP241)/BP241,""),"—")</f>
        <v/>
      </c>
      <c r="BU241" s="29">
        <f>IFERROR(IF(AND(BK241&lt;&gt;"",BP241&lt;&gt;""),(BP241-BK241)/BK241,""),"—")</f>
        <v/>
      </c>
    </row>
    <row r="242">
      <c r="AK242" s="14">
        <f>IFERROR(IF(AND(AG242&lt;&gt;"",AH242&lt;&gt;""),AG242*AH242,IF(AI242&lt;&gt;"",AI242,IF(AJ242&lt;&gt;"",AJ242*43560,""))),"ERROR")</f>
        <v/>
      </c>
      <c r="AL242" s="15">
        <f>IFERROR(IF(AK242&lt;&gt;"",AK242/43560,""),"—")</f>
        <v/>
      </c>
      <c r="AN242" s="14">
        <f>IFERROR(IF(AL242="","",IF(AL242&lt;2,"Residential (&lt;2ac)",IF(AL242&lt;10,"Small Rural (2-10ac)",IF(AL242&lt;40,"Rural (10-40ac)",IF(AL242&lt;100,"Farm/Estate (40-100ac)","Large Farm (100+ac)"))))),"—")</f>
        <v/>
      </c>
      <c r="AZ242" s="21" t="n"/>
      <c r="BF242" s="21" t="n"/>
      <c r="BG242" s="21" t="n"/>
      <c r="BH242" s="22">
        <f>IFERROR(IF(AND(BF242&lt;&gt;"",BG242&lt;&gt;""),AVERAGE(BF242,BG242),""),"—")</f>
        <v/>
      </c>
      <c r="BK242" s="21" t="n"/>
      <c r="BM242" s="21" t="n"/>
      <c r="BN242" s="28">
        <f>IFERROR(IF(AND(BK242&lt;&gt;"",BM242&lt;&gt;""),IF(BM242&lt;BK242,1,0),""),"")</f>
        <v/>
      </c>
      <c r="BP242" s="21" t="n"/>
      <c r="BS242" s="29">
        <f>IFERROR(IF(AND(BH242&lt;&gt;"",BK242&lt;&gt;""),(BH242-BK242)/BK242,""),"—")</f>
        <v/>
      </c>
      <c r="BT242" s="29">
        <f>IFERROR(IF(AND(BH242&lt;&gt;"",BP242&lt;&gt;""),(BH242-BP242)/BP242,""),"—")</f>
        <v/>
      </c>
      <c r="BU242" s="29">
        <f>IFERROR(IF(AND(BK242&lt;&gt;"",BP242&lt;&gt;""),(BP242-BK242)/BK242,""),"—")</f>
        <v/>
      </c>
    </row>
    <row r="243">
      <c r="AK243" s="14">
        <f>IFERROR(IF(AND(AG243&lt;&gt;"",AH243&lt;&gt;""),AG243*AH243,IF(AI243&lt;&gt;"",AI243,IF(AJ243&lt;&gt;"",AJ243*43560,""))),"ERROR")</f>
        <v/>
      </c>
      <c r="AL243" s="15">
        <f>IFERROR(IF(AK243&lt;&gt;"",AK243/43560,""),"—")</f>
        <v/>
      </c>
      <c r="AN243" s="14">
        <f>IFERROR(IF(AL243="","",IF(AL243&lt;2,"Residential (&lt;2ac)",IF(AL243&lt;10,"Small Rural (2-10ac)",IF(AL243&lt;40,"Rural (10-40ac)",IF(AL243&lt;100,"Farm/Estate (40-100ac)","Large Farm (100+ac)"))))),"—")</f>
        <v/>
      </c>
      <c r="AZ243" s="21" t="n"/>
      <c r="BF243" s="21" t="n"/>
      <c r="BG243" s="21" t="n"/>
      <c r="BH243" s="22">
        <f>IFERROR(IF(AND(BF243&lt;&gt;"",BG243&lt;&gt;""),AVERAGE(BF243,BG243),""),"—")</f>
        <v/>
      </c>
      <c r="BK243" s="21" t="n"/>
      <c r="BM243" s="21" t="n"/>
      <c r="BN243" s="28">
        <f>IFERROR(IF(AND(BK243&lt;&gt;"",BM243&lt;&gt;""),IF(BM243&lt;BK243,1,0),""),"")</f>
        <v/>
      </c>
      <c r="BP243" s="21" t="n"/>
      <c r="BS243" s="29">
        <f>IFERROR(IF(AND(BH243&lt;&gt;"",BK243&lt;&gt;""),(BH243-BK243)/BK243,""),"—")</f>
        <v/>
      </c>
      <c r="BT243" s="29">
        <f>IFERROR(IF(AND(BH243&lt;&gt;"",BP243&lt;&gt;""),(BH243-BP243)/BP243,""),"—")</f>
        <v/>
      </c>
      <c r="BU243" s="29">
        <f>IFERROR(IF(AND(BK243&lt;&gt;"",BP243&lt;&gt;""),(BP243-BK243)/BK243,""),"—")</f>
        <v/>
      </c>
    </row>
    <row r="244">
      <c r="AK244" s="14">
        <f>IFERROR(IF(AND(AG244&lt;&gt;"",AH244&lt;&gt;""),AG244*AH244,IF(AI244&lt;&gt;"",AI244,IF(AJ244&lt;&gt;"",AJ244*43560,""))),"ERROR")</f>
        <v/>
      </c>
      <c r="AL244" s="15">
        <f>IFERROR(IF(AK244&lt;&gt;"",AK244/43560,""),"—")</f>
        <v/>
      </c>
      <c r="AN244" s="14">
        <f>IFERROR(IF(AL244="","",IF(AL244&lt;2,"Residential (&lt;2ac)",IF(AL244&lt;10,"Small Rural (2-10ac)",IF(AL244&lt;40,"Rural (10-40ac)",IF(AL244&lt;100,"Farm/Estate (40-100ac)","Large Farm (100+ac)"))))),"—")</f>
        <v/>
      </c>
      <c r="AZ244" s="21" t="n"/>
      <c r="BF244" s="21" t="n"/>
      <c r="BG244" s="21" t="n"/>
      <c r="BH244" s="22">
        <f>IFERROR(IF(AND(BF244&lt;&gt;"",BG244&lt;&gt;""),AVERAGE(BF244,BG244),""),"—")</f>
        <v/>
      </c>
      <c r="BK244" s="21" t="n"/>
      <c r="BM244" s="21" t="n"/>
      <c r="BN244" s="28">
        <f>IFERROR(IF(AND(BK244&lt;&gt;"",BM244&lt;&gt;""),IF(BM244&lt;BK244,1,0),""),"")</f>
        <v/>
      </c>
      <c r="BP244" s="21" t="n"/>
      <c r="BS244" s="29">
        <f>IFERROR(IF(AND(BH244&lt;&gt;"",BK244&lt;&gt;""),(BH244-BK244)/BK244,""),"—")</f>
        <v/>
      </c>
      <c r="BT244" s="29">
        <f>IFERROR(IF(AND(BH244&lt;&gt;"",BP244&lt;&gt;""),(BH244-BP244)/BP244,""),"—")</f>
        <v/>
      </c>
      <c r="BU244" s="29">
        <f>IFERROR(IF(AND(BK244&lt;&gt;"",BP244&lt;&gt;""),(BP244-BK244)/BK244,""),"—")</f>
        <v/>
      </c>
    </row>
    <row r="245">
      <c r="AK245" s="14">
        <f>IFERROR(IF(AND(AG245&lt;&gt;"",AH245&lt;&gt;""),AG245*AH245,IF(AI245&lt;&gt;"",AI245,IF(AJ245&lt;&gt;"",AJ245*43560,""))),"ERROR")</f>
        <v/>
      </c>
      <c r="AL245" s="15">
        <f>IFERROR(IF(AK245&lt;&gt;"",AK245/43560,""),"—")</f>
        <v/>
      </c>
      <c r="AN245" s="14">
        <f>IFERROR(IF(AL245="","",IF(AL245&lt;2,"Residential (&lt;2ac)",IF(AL245&lt;10,"Small Rural (2-10ac)",IF(AL245&lt;40,"Rural (10-40ac)",IF(AL245&lt;100,"Farm/Estate (40-100ac)","Large Farm (100+ac)"))))),"—")</f>
        <v/>
      </c>
      <c r="AZ245" s="21" t="n"/>
      <c r="BF245" s="21" t="n"/>
      <c r="BG245" s="21" t="n"/>
      <c r="BH245" s="22">
        <f>IFERROR(IF(AND(BF245&lt;&gt;"",BG245&lt;&gt;""),AVERAGE(BF245,BG245),""),"—")</f>
        <v/>
      </c>
      <c r="BK245" s="21" t="n"/>
      <c r="BM245" s="21" t="n"/>
      <c r="BN245" s="28">
        <f>IFERROR(IF(AND(BK245&lt;&gt;"",BM245&lt;&gt;""),IF(BM245&lt;BK245,1,0),""),"")</f>
        <v/>
      </c>
      <c r="BP245" s="21" t="n"/>
      <c r="BS245" s="29">
        <f>IFERROR(IF(AND(BH245&lt;&gt;"",BK245&lt;&gt;""),(BH245-BK245)/BK245,""),"—")</f>
        <v/>
      </c>
      <c r="BT245" s="29">
        <f>IFERROR(IF(AND(BH245&lt;&gt;"",BP245&lt;&gt;""),(BH245-BP245)/BP245,""),"—")</f>
        <v/>
      </c>
      <c r="BU245" s="29">
        <f>IFERROR(IF(AND(BK245&lt;&gt;"",BP245&lt;&gt;""),(BP245-BK245)/BK245,""),"—")</f>
        <v/>
      </c>
    </row>
    <row r="246">
      <c r="AK246" s="14">
        <f>IFERROR(IF(AND(AG246&lt;&gt;"",AH246&lt;&gt;""),AG246*AH246,IF(AI246&lt;&gt;"",AI246,IF(AJ246&lt;&gt;"",AJ246*43560,""))),"ERROR")</f>
        <v/>
      </c>
      <c r="AL246" s="15">
        <f>IFERROR(IF(AK246&lt;&gt;"",AK246/43560,""),"—")</f>
        <v/>
      </c>
      <c r="AN246" s="14">
        <f>IFERROR(IF(AL246="","",IF(AL246&lt;2,"Residential (&lt;2ac)",IF(AL246&lt;10,"Small Rural (2-10ac)",IF(AL246&lt;40,"Rural (10-40ac)",IF(AL246&lt;100,"Farm/Estate (40-100ac)","Large Farm (100+ac)"))))),"—")</f>
        <v/>
      </c>
      <c r="AZ246" s="21" t="n"/>
      <c r="BF246" s="21" t="n"/>
      <c r="BG246" s="21" t="n"/>
      <c r="BH246" s="22">
        <f>IFERROR(IF(AND(BF246&lt;&gt;"",BG246&lt;&gt;""),AVERAGE(BF246,BG246),""),"—")</f>
        <v/>
      </c>
      <c r="BK246" s="21" t="n"/>
      <c r="BM246" s="21" t="n"/>
      <c r="BN246" s="28">
        <f>IFERROR(IF(AND(BK246&lt;&gt;"",BM246&lt;&gt;""),IF(BM246&lt;BK246,1,0),""),"")</f>
        <v/>
      </c>
      <c r="BP246" s="21" t="n"/>
      <c r="BS246" s="29">
        <f>IFERROR(IF(AND(BH246&lt;&gt;"",BK246&lt;&gt;""),(BH246-BK246)/BK246,""),"—")</f>
        <v/>
      </c>
      <c r="BT246" s="29">
        <f>IFERROR(IF(AND(BH246&lt;&gt;"",BP246&lt;&gt;""),(BH246-BP246)/BP246,""),"—")</f>
        <v/>
      </c>
      <c r="BU246" s="29">
        <f>IFERROR(IF(AND(BK246&lt;&gt;"",BP246&lt;&gt;""),(BP246-BK246)/BK246,""),"—")</f>
        <v/>
      </c>
    </row>
    <row r="247">
      <c r="AK247" s="14">
        <f>IFERROR(IF(AND(AG247&lt;&gt;"",AH247&lt;&gt;""),AG247*AH247,IF(AI247&lt;&gt;"",AI247,IF(AJ247&lt;&gt;"",AJ247*43560,""))),"ERROR")</f>
        <v/>
      </c>
      <c r="AL247" s="15">
        <f>IFERROR(IF(AK247&lt;&gt;"",AK247/43560,""),"—")</f>
        <v/>
      </c>
      <c r="AN247" s="14">
        <f>IFERROR(IF(AL247="","",IF(AL247&lt;2,"Residential (&lt;2ac)",IF(AL247&lt;10,"Small Rural (2-10ac)",IF(AL247&lt;40,"Rural (10-40ac)",IF(AL247&lt;100,"Farm/Estate (40-100ac)","Large Farm (100+ac)"))))),"—")</f>
        <v/>
      </c>
      <c r="AZ247" s="21" t="n"/>
      <c r="BF247" s="21" t="n"/>
      <c r="BG247" s="21" t="n"/>
      <c r="BH247" s="22">
        <f>IFERROR(IF(AND(BF247&lt;&gt;"",BG247&lt;&gt;""),AVERAGE(BF247,BG247),""),"—")</f>
        <v/>
      </c>
      <c r="BK247" s="21" t="n"/>
      <c r="BM247" s="21" t="n"/>
      <c r="BN247" s="28">
        <f>IFERROR(IF(AND(BK247&lt;&gt;"",BM247&lt;&gt;""),IF(BM247&lt;BK247,1,0),""),"")</f>
        <v/>
      </c>
      <c r="BP247" s="21" t="n"/>
      <c r="BS247" s="29">
        <f>IFERROR(IF(AND(BH247&lt;&gt;"",BK247&lt;&gt;""),(BH247-BK247)/BK247,""),"—")</f>
        <v/>
      </c>
      <c r="BT247" s="29">
        <f>IFERROR(IF(AND(BH247&lt;&gt;"",BP247&lt;&gt;""),(BH247-BP247)/BP247,""),"—")</f>
        <v/>
      </c>
      <c r="BU247" s="29">
        <f>IFERROR(IF(AND(BK247&lt;&gt;"",BP247&lt;&gt;""),(BP247-BK247)/BK247,""),"—")</f>
        <v/>
      </c>
    </row>
    <row r="248">
      <c r="AK248" s="14">
        <f>IFERROR(IF(AND(AG248&lt;&gt;"",AH248&lt;&gt;""),AG248*AH248,IF(AI248&lt;&gt;"",AI248,IF(AJ248&lt;&gt;"",AJ248*43560,""))),"ERROR")</f>
        <v/>
      </c>
      <c r="AL248" s="15">
        <f>IFERROR(IF(AK248&lt;&gt;"",AK248/43560,""),"—")</f>
        <v/>
      </c>
      <c r="AN248" s="14">
        <f>IFERROR(IF(AL248="","",IF(AL248&lt;2,"Residential (&lt;2ac)",IF(AL248&lt;10,"Small Rural (2-10ac)",IF(AL248&lt;40,"Rural (10-40ac)",IF(AL248&lt;100,"Farm/Estate (40-100ac)","Large Farm (100+ac)"))))),"—")</f>
        <v/>
      </c>
      <c r="AZ248" s="21" t="n"/>
      <c r="BF248" s="21" t="n"/>
      <c r="BG248" s="21" t="n"/>
      <c r="BH248" s="22">
        <f>IFERROR(IF(AND(BF248&lt;&gt;"",BG248&lt;&gt;""),AVERAGE(BF248,BG248),""),"—")</f>
        <v/>
      </c>
      <c r="BK248" s="21" t="n"/>
      <c r="BM248" s="21" t="n"/>
      <c r="BN248" s="28">
        <f>IFERROR(IF(AND(BK248&lt;&gt;"",BM248&lt;&gt;""),IF(BM248&lt;BK248,1,0),""),"")</f>
        <v/>
      </c>
      <c r="BP248" s="21" t="n"/>
      <c r="BS248" s="29">
        <f>IFERROR(IF(AND(BH248&lt;&gt;"",BK248&lt;&gt;""),(BH248-BK248)/BK248,""),"—")</f>
        <v/>
      </c>
      <c r="BT248" s="29">
        <f>IFERROR(IF(AND(BH248&lt;&gt;"",BP248&lt;&gt;""),(BH248-BP248)/BP248,""),"—")</f>
        <v/>
      </c>
      <c r="BU248" s="29">
        <f>IFERROR(IF(AND(BK248&lt;&gt;"",BP248&lt;&gt;""),(BP248-BK248)/BK248,""),"—")</f>
        <v/>
      </c>
    </row>
    <row r="249">
      <c r="AK249" s="14">
        <f>IFERROR(IF(AND(AG249&lt;&gt;"",AH249&lt;&gt;""),AG249*AH249,IF(AI249&lt;&gt;"",AI249,IF(AJ249&lt;&gt;"",AJ249*43560,""))),"ERROR")</f>
        <v/>
      </c>
      <c r="AL249" s="15">
        <f>IFERROR(IF(AK249&lt;&gt;"",AK249/43560,""),"—")</f>
        <v/>
      </c>
      <c r="AN249" s="14">
        <f>IFERROR(IF(AL249="","",IF(AL249&lt;2,"Residential (&lt;2ac)",IF(AL249&lt;10,"Small Rural (2-10ac)",IF(AL249&lt;40,"Rural (10-40ac)",IF(AL249&lt;100,"Farm/Estate (40-100ac)","Large Farm (100+ac)"))))),"—")</f>
        <v/>
      </c>
      <c r="AZ249" s="21" t="n"/>
      <c r="BF249" s="21" t="n"/>
      <c r="BG249" s="21" t="n"/>
      <c r="BH249" s="22">
        <f>IFERROR(IF(AND(BF249&lt;&gt;"",BG249&lt;&gt;""),AVERAGE(BF249,BG249),""),"—")</f>
        <v/>
      </c>
      <c r="BK249" s="21" t="n"/>
      <c r="BM249" s="21" t="n"/>
      <c r="BN249" s="28">
        <f>IFERROR(IF(AND(BK249&lt;&gt;"",BM249&lt;&gt;""),IF(BM249&lt;BK249,1,0),""),"")</f>
        <v/>
      </c>
      <c r="BP249" s="21" t="n"/>
      <c r="BS249" s="29">
        <f>IFERROR(IF(AND(BH249&lt;&gt;"",BK249&lt;&gt;""),(BH249-BK249)/BK249,""),"—")</f>
        <v/>
      </c>
      <c r="BT249" s="29">
        <f>IFERROR(IF(AND(BH249&lt;&gt;"",BP249&lt;&gt;""),(BH249-BP249)/BP249,""),"—")</f>
        <v/>
      </c>
      <c r="BU249" s="29">
        <f>IFERROR(IF(AND(BK249&lt;&gt;"",BP249&lt;&gt;""),(BP249-BK249)/BK249,""),"—")</f>
        <v/>
      </c>
    </row>
    <row r="250">
      <c r="AK250" s="14">
        <f>IFERROR(IF(AND(AG250&lt;&gt;"",AH250&lt;&gt;""),AG250*AH250,IF(AI250&lt;&gt;"",AI250,IF(AJ250&lt;&gt;"",AJ250*43560,""))),"ERROR")</f>
        <v/>
      </c>
      <c r="AL250" s="15">
        <f>IFERROR(IF(AK250&lt;&gt;"",AK250/43560,""),"—")</f>
        <v/>
      </c>
      <c r="AN250" s="14">
        <f>IFERROR(IF(AL250="","",IF(AL250&lt;2,"Residential (&lt;2ac)",IF(AL250&lt;10,"Small Rural (2-10ac)",IF(AL250&lt;40,"Rural (10-40ac)",IF(AL250&lt;100,"Farm/Estate (40-100ac)","Large Farm (100+ac)"))))),"—")</f>
        <v/>
      </c>
      <c r="AZ250" s="21" t="n"/>
      <c r="BF250" s="21" t="n"/>
      <c r="BG250" s="21" t="n"/>
      <c r="BH250" s="22">
        <f>IFERROR(IF(AND(BF250&lt;&gt;"",BG250&lt;&gt;""),AVERAGE(BF250,BG250),""),"—")</f>
        <v/>
      </c>
      <c r="BK250" s="21" t="n"/>
      <c r="BM250" s="21" t="n"/>
      <c r="BN250" s="28">
        <f>IFERROR(IF(AND(BK250&lt;&gt;"",BM250&lt;&gt;""),IF(BM250&lt;BK250,1,0),""),"")</f>
        <v/>
      </c>
      <c r="BP250" s="21" t="n"/>
      <c r="BS250" s="29">
        <f>IFERROR(IF(AND(BH250&lt;&gt;"",BK250&lt;&gt;""),(BH250-BK250)/BK250,""),"—")</f>
        <v/>
      </c>
      <c r="BT250" s="29">
        <f>IFERROR(IF(AND(BH250&lt;&gt;"",BP250&lt;&gt;""),(BH250-BP250)/BP250,""),"—")</f>
        <v/>
      </c>
      <c r="BU250" s="29">
        <f>IFERROR(IF(AND(BK250&lt;&gt;"",BP250&lt;&gt;""),(BP250-BK250)/BK250,""),"—")</f>
        <v/>
      </c>
    </row>
    <row r="251">
      <c r="AK251" s="14">
        <f>IFERROR(IF(AND(AG251&lt;&gt;"",AH251&lt;&gt;""),AG251*AH251,IF(AI251&lt;&gt;"",AI251,IF(AJ251&lt;&gt;"",AJ251*43560,""))),"ERROR")</f>
        <v/>
      </c>
      <c r="AL251" s="15">
        <f>IFERROR(IF(AK251&lt;&gt;"",AK251/43560,""),"—")</f>
        <v/>
      </c>
      <c r="AN251" s="14">
        <f>IFERROR(IF(AL251="","",IF(AL251&lt;2,"Residential (&lt;2ac)",IF(AL251&lt;10,"Small Rural (2-10ac)",IF(AL251&lt;40,"Rural (10-40ac)",IF(AL251&lt;100,"Farm/Estate (40-100ac)","Large Farm (100+ac)"))))),"—")</f>
        <v/>
      </c>
      <c r="AZ251" s="21" t="n"/>
      <c r="BF251" s="21" t="n"/>
      <c r="BG251" s="21" t="n"/>
      <c r="BH251" s="22">
        <f>IFERROR(IF(AND(BF251&lt;&gt;"",BG251&lt;&gt;""),AVERAGE(BF251,BG251),""),"—")</f>
        <v/>
      </c>
      <c r="BK251" s="21" t="n"/>
      <c r="BM251" s="21" t="n"/>
      <c r="BN251" s="28">
        <f>IFERROR(IF(AND(BK251&lt;&gt;"",BM251&lt;&gt;""),IF(BM251&lt;BK251,1,0),""),"")</f>
        <v/>
      </c>
      <c r="BP251" s="21" t="n"/>
      <c r="BS251" s="29">
        <f>IFERROR(IF(AND(BH251&lt;&gt;"",BK251&lt;&gt;""),(BH251-BK251)/BK251,""),"—")</f>
        <v/>
      </c>
      <c r="BT251" s="29">
        <f>IFERROR(IF(AND(BH251&lt;&gt;"",BP251&lt;&gt;""),(BH251-BP251)/BP251,""),"—")</f>
        <v/>
      </c>
      <c r="BU251" s="29">
        <f>IFERROR(IF(AND(BK251&lt;&gt;"",BP251&lt;&gt;""),(BP251-BK251)/BK251,""),"—")</f>
        <v/>
      </c>
    </row>
    <row r="252">
      <c r="AK252" s="14">
        <f>IFERROR(IF(AND(AG252&lt;&gt;"",AH252&lt;&gt;""),AG252*AH252,IF(AI252&lt;&gt;"",AI252,IF(AJ252&lt;&gt;"",AJ252*43560,""))),"ERROR")</f>
        <v/>
      </c>
      <c r="AL252" s="15">
        <f>IFERROR(IF(AK252&lt;&gt;"",AK252/43560,""),"—")</f>
        <v/>
      </c>
      <c r="AN252" s="14">
        <f>IFERROR(IF(AL252="","",IF(AL252&lt;2,"Residential (&lt;2ac)",IF(AL252&lt;10,"Small Rural (2-10ac)",IF(AL252&lt;40,"Rural (10-40ac)",IF(AL252&lt;100,"Farm/Estate (40-100ac)","Large Farm (100+ac)"))))),"—")</f>
        <v/>
      </c>
      <c r="AZ252" s="21" t="n"/>
      <c r="BF252" s="21" t="n"/>
      <c r="BG252" s="21" t="n"/>
      <c r="BH252" s="22">
        <f>IFERROR(IF(AND(BF252&lt;&gt;"",BG252&lt;&gt;""),AVERAGE(BF252,BG252),""),"—")</f>
        <v/>
      </c>
      <c r="BK252" s="21" t="n"/>
      <c r="BM252" s="21" t="n"/>
      <c r="BN252" s="28">
        <f>IFERROR(IF(AND(BK252&lt;&gt;"",BM252&lt;&gt;""),IF(BM252&lt;BK252,1,0),""),"")</f>
        <v/>
      </c>
      <c r="BP252" s="21" t="n"/>
      <c r="BS252" s="29">
        <f>IFERROR(IF(AND(BH252&lt;&gt;"",BK252&lt;&gt;""),(BH252-BK252)/BK252,""),"—")</f>
        <v/>
      </c>
      <c r="BT252" s="29">
        <f>IFERROR(IF(AND(BH252&lt;&gt;"",BP252&lt;&gt;""),(BH252-BP252)/BP252,""),"—")</f>
        <v/>
      </c>
      <c r="BU252" s="29">
        <f>IFERROR(IF(AND(BK252&lt;&gt;"",BP252&lt;&gt;""),(BP252-BK252)/BK252,""),"—")</f>
        <v/>
      </c>
    </row>
    <row r="253">
      <c r="AK253" s="14">
        <f>IFERROR(IF(AND(AG253&lt;&gt;"",AH253&lt;&gt;""),AG253*AH253,IF(AI253&lt;&gt;"",AI253,IF(AJ253&lt;&gt;"",AJ253*43560,""))),"ERROR")</f>
        <v/>
      </c>
      <c r="AL253" s="15">
        <f>IFERROR(IF(AK253&lt;&gt;"",AK253/43560,""),"—")</f>
        <v/>
      </c>
      <c r="AN253" s="14">
        <f>IFERROR(IF(AL253="","",IF(AL253&lt;2,"Residential (&lt;2ac)",IF(AL253&lt;10,"Small Rural (2-10ac)",IF(AL253&lt;40,"Rural (10-40ac)",IF(AL253&lt;100,"Farm/Estate (40-100ac)","Large Farm (100+ac)"))))),"—")</f>
        <v/>
      </c>
      <c r="AZ253" s="21" t="n"/>
      <c r="BF253" s="21" t="n"/>
      <c r="BG253" s="21" t="n"/>
      <c r="BH253" s="22">
        <f>IFERROR(IF(AND(BF253&lt;&gt;"",BG253&lt;&gt;""),AVERAGE(BF253,BG253),""),"—")</f>
        <v/>
      </c>
      <c r="BK253" s="21" t="n"/>
      <c r="BM253" s="21" t="n"/>
      <c r="BN253" s="28">
        <f>IFERROR(IF(AND(BK253&lt;&gt;"",BM253&lt;&gt;""),IF(BM253&lt;BK253,1,0),""),"")</f>
        <v/>
      </c>
      <c r="BP253" s="21" t="n"/>
      <c r="BS253" s="29">
        <f>IFERROR(IF(AND(BH253&lt;&gt;"",BK253&lt;&gt;""),(BH253-BK253)/BK253,""),"—")</f>
        <v/>
      </c>
      <c r="BT253" s="29">
        <f>IFERROR(IF(AND(BH253&lt;&gt;"",BP253&lt;&gt;""),(BH253-BP253)/BP253,""),"—")</f>
        <v/>
      </c>
      <c r="BU253" s="29">
        <f>IFERROR(IF(AND(BK253&lt;&gt;"",BP253&lt;&gt;""),(BP253-BK253)/BK253,""),"—")</f>
        <v/>
      </c>
    </row>
    <row r="254">
      <c r="AK254" s="14">
        <f>IFERROR(IF(AND(AG254&lt;&gt;"",AH254&lt;&gt;""),AG254*AH254,IF(AI254&lt;&gt;"",AI254,IF(AJ254&lt;&gt;"",AJ254*43560,""))),"ERROR")</f>
        <v/>
      </c>
      <c r="AL254" s="15">
        <f>IFERROR(IF(AK254&lt;&gt;"",AK254/43560,""),"—")</f>
        <v/>
      </c>
      <c r="AN254" s="14">
        <f>IFERROR(IF(AL254="","",IF(AL254&lt;2,"Residential (&lt;2ac)",IF(AL254&lt;10,"Small Rural (2-10ac)",IF(AL254&lt;40,"Rural (10-40ac)",IF(AL254&lt;100,"Farm/Estate (40-100ac)","Large Farm (100+ac)"))))),"—")</f>
        <v/>
      </c>
      <c r="AZ254" s="21" t="n"/>
      <c r="BF254" s="21" t="n"/>
      <c r="BG254" s="21" t="n"/>
      <c r="BH254" s="22">
        <f>IFERROR(IF(AND(BF254&lt;&gt;"",BG254&lt;&gt;""),AVERAGE(BF254,BG254),""),"—")</f>
        <v/>
      </c>
      <c r="BK254" s="21" t="n"/>
      <c r="BM254" s="21" t="n"/>
      <c r="BN254" s="28">
        <f>IFERROR(IF(AND(BK254&lt;&gt;"",BM254&lt;&gt;""),IF(BM254&lt;BK254,1,0),""),"")</f>
        <v/>
      </c>
      <c r="BP254" s="21" t="n"/>
      <c r="BS254" s="29">
        <f>IFERROR(IF(AND(BH254&lt;&gt;"",BK254&lt;&gt;""),(BH254-BK254)/BK254,""),"—")</f>
        <v/>
      </c>
      <c r="BT254" s="29">
        <f>IFERROR(IF(AND(BH254&lt;&gt;"",BP254&lt;&gt;""),(BH254-BP254)/BP254,""),"—")</f>
        <v/>
      </c>
      <c r="BU254" s="29">
        <f>IFERROR(IF(AND(BK254&lt;&gt;"",BP254&lt;&gt;""),(BP254-BK254)/BK254,""),"—")</f>
        <v/>
      </c>
    </row>
    <row r="255">
      <c r="AK255" s="14">
        <f>IFERROR(IF(AND(AG255&lt;&gt;"",AH255&lt;&gt;""),AG255*AH255,IF(AI255&lt;&gt;"",AI255,IF(AJ255&lt;&gt;"",AJ255*43560,""))),"ERROR")</f>
        <v/>
      </c>
      <c r="AL255" s="15">
        <f>IFERROR(IF(AK255&lt;&gt;"",AK255/43560,""),"—")</f>
        <v/>
      </c>
      <c r="AN255" s="14">
        <f>IFERROR(IF(AL255="","",IF(AL255&lt;2,"Residential (&lt;2ac)",IF(AL255&lt;10,"Small Rural (2-10ac)",IF(AL255&lt;40,"Rural (10-40ac)",IF(AL255&lt;100,"Farm/Estate (40-100ac)","Large Farm (100+ac)"))))),"—")</f>
        <v/>
      </c>
      <c r="AZ255" s="21" t="n"/>
      <c r="BF255" s="21" t="n"/>
      <c r="BG255" s="21" t="n"/>
      <c r="BH255" s="22">
        <f>IFERROR(IF(AND(BF255&lt;&gt;"",BG255&lt;&gt;""),AVERAGE(BF255,BG255),""),"—")</f>
        <v/>
      </c>
      <c r="BK255" s="21" t="n"/>
      <c r="BM255" s="21" t="n"/>
      <c r="BN255" s="28">
        <f>IFERROR(IF(AND(BK255&lt;&gt;"",BM255&lt;&gt;""),IF(BM255&lt;BK255,1,0),""),"")</f>
        <v/>
      </c>
      <c r="BP255" s="21" t="n"/>
      <c r="BS255" s="29">
        <f>IFERROR(IF(AND(BH255&lt;&gt;"",BK255&lt;&gt;""),(BH255-BK255)/BK255,""),"—")</f>
        <v/>
      </c>
      <c r="BT255" s="29">
        <f>IFERROR(IF(AND(BH255&lt;&gt;"",BP255&lt;&gt;""),(BH255-BP255)/BP255,""),"—")</f>
        <v/>
      </c>
      <c r="BU255" s="29">
        <f>IFERROR(IF(AND(BK255&lt;&gt;"",BP255&lt;&gt;""),(BP255-BK255)/BK255,""),"—")</f>
        <v/>
      </c>
    </row>
    <row r="256">
      <c r="AK256" s="14">
        <f>IFERROR(IF(AND(AG256&lt;&gt;"",AH256&lt;&gt;""),AG256*AH256,IF(AI256&lt;&gt;"",AI256,IF(AJ256&lt;&gt;"",AJ256*43560,""))),"ERROR")</f>
        <v/>
      </c>
      <c r="AL256" s="15">
        <f>IFERROR(IF(AK256&lt;&gt;"",AK256/43560,""),"—")</f>
        <v/>
      </c>
      <c r="AN256" s="14">
        <f>IFERROR(IF(AL256="","",IF(AL256&lt;2,"Residential (&lt;2ac)",IF(AL256&lt;10,"Small Rural (2-10ac)",IF(AL256&lt;40,"Rural (10-40ac)",IF(AL256&lt;100,"Farm/Estate (40-100ac)","Large Farm (100+ac)"))))),"—")</f>
        <v/>
      </c>
      <c r="AZ256" s="21" t="n"/>
      <c r="BF256" s="21" t="n"/>
      <c r="BG256" s="21" t="n"/>
      <c r="BH256" s="22">
        <f>IFERROR(IF(AND(BF256&lt;&gt;"",BG256&lt;&gt;""),AVERAGE(BF256,BG256),""),"—")</f>
        <v/>
      </c>
      <c r="BK256" s="21" t="n"/>
      <c r="BM256" s="21" t="n"/>
      <c r="BN256" s="28">
        <f>IFERROR(IF(AND(BK256&lt;&gt;"",BM256&lt;&gt;""),IF(BM256&lt;BK256,1,0),""),"")</f>
        <v/>
      </c>
      <c r="BP256" s="21" t="n"/>
      <c r="BS256" s="29">
        <f>IFERROR(IF(AND(BH256&lt;&gt;"",BK256&lt;&gt;""),(BH256-BK256)/BK256,""),"—")</f>
        <v/>
      </c>
      <c r="BT256" s="29">
        <f>IFERROR(IF(AND(BH256&lt;&gt;"",BP256&lt;&gt;""),(BH256-BP256)/BP256,""),"—")</f>
        <v/>
      </c>
      <c r="BU256" s="29">
        <f>IFERROR(IF(AND(BK256&lt;&gt;"",BP256&lt;&gt;""),(BP256-BK256)/BK256,""),"—")</f>
        <v/>
      </c>
    </row>
    <row r="257">
      <c r="AK257" s="14">
        <f>IFERROR(IF(AND(AG257&lt;&gt;"",AH257&lt;&gt;""),AG257*AH257,IF(AI257&lt;&gt;"",AI257,IF(AJ257&lt;&gt;"",AJ257*43560,""))),"ERROR")</f>
        <v/>
      </c>
      <c r="AL257" s="15">
        <f>IFERROR(IF(AK257&lt;&gt;"",AK257/43560,""),"—")</f>
        <v/>
      </c>
      <c r="AN257" s="14">
        <f>IFERROR(IF(AL257="","",IF(AL257&lt;2,"Residential (&lt;2ac)",IF(AL257&lt;10,"Small Rural (2-10ac)",IF(AL257&lt;40,"Rural (10-40ac)",IF(AL257&lt;100,"Farm/Estate (40-100ac)","Large Farm (100+ac)"))))),"—")</f>
        <v/>
      </c>
      <c r="AZ257" s="21" t="n"/>
      <c r="BF257" s="21" t="n"/>
      <c r="BG257" s="21" t="n"/>
      <c r="BH257" s="22">
        <f>IFERROR(IF(AND(BF257&lt;&gt;"",BG257&lt;&gt;""),AVERAGE(BF257,BG257),""),"—")</f>
        <v/>
      </c>
      <c r="BK257" s="21" t="n"/>
      <c r="BM257" s="21" t="n"/>
      <c r="BN257" s="28">
        <f>IFERROR(IF(AND(BK257&lt;&gt;"",BM257&lt;&gt;""),IF(BM257&lt;BK257,1,0),""),"")</f>
        <v/>
      </c>
      <c r="BP257" s="21" t="n"/>
      <c r="BS257" s="29">
        <f>IFERROR(IF(AND(BH257&lt;&gt;"",BK257&lt;&gt;""),(BH257-BK257)/BK257,""),"—")</f>
        <v/>
      </c>
      <c r="BT257" s="29">
        <f>IFERROR(IF(AND(BH257&lt;&gt;"",BP257&lt;&gt;""),(BH257-BP257)/BP257,""),"—")</f>
        <v/>
      </c>
      <c r="BU257" s="29">
        <f>IFERROR(IF(AND(BK257&lt;&gt;"",BP257&lt;&gt;""),(BP257-BK257)/BK257,""),"—")</f>
        <v/>
      </c>
    </row>
    <row r="258">
      <c r="AK258" s="14">
        <f>IFERROR(IF(AND(AG258&lt;&gt;"",AH258&lt;&gt;""),AG258*AH258,IF(AI258&lt;&gt;"",AI258,IF(AJ258&lt;&gt;"",AJ258*43560,""))),"ERROR")</f>
        <v/>
      </c>
      <c r="AL258" s="15">
        <f>IFERROR(IF(AK258&lt;&gt;"",AK258/43560,""),"—")</f>
        <v/>
      </c>
      <c r="AN258" s="14">
        <f>IFERROR(IF(AL258="","",IF(AL258&lt;2,"Residential (&lt;2ac)",IF(AL258&lt;10,"Small Rural (2-10ac)",IF(AL258&lt;40,"Rural (10-40ac)",IF(AL258&lt;100,"Farm/Estate (40-100ac)","Large Farm (100+ac)"))))),"—")</f>
        <v/>
      </c>
      <c r="AZ258" s="21" t="n"/>
      <c r="BF258" s="21" t="n"/>
      <c r="BG258" s="21" t="n"/>
      <c r="BH258" s="22">
        <f>IFERROR(IF(AND(BF258&lt;&gt;"",BG258&lt;&gt;""),AVERAGE(BF258,BG258),""),"—")</f>
        <v/>
      </c>
      <c r="BK258" s="21" t="n"/>
      <c r="BM258" s="21" t="n"/>
      <c r="BN258" s="28">
        <f>IFERROR(IF(AND(BK258&lt;&gt;"",BM258&lt;&gt;""),IF(BM258&lt;BK258,1,0),""),"")</f>
        <v/>
      </c>
      <c r="BP258" s="21" t="n"/>
      <c r="BS258" s="29">
        <f>IFERROR(IF(AND(BH258&lt;&gt;"",BK258&lt;&gt;""),(BH258-BK258)/BK258,""),"—")</f>
        <v/>
      </c>
      <c r="BT258" s="29">
        <f>IFERROR(IF(AND(BH258&lt;&gt;"",BP258&lt;&gt;""),(BH258-BP258)/BP258,""),"—")</f>
        <v/>
      </c>
      <c r="BU258" s="29">
        <f>IFERROR(IF(AND(BK258&lt;&gt;"",BP258&lt;&gt;""),(BP258-BK258)/BK258,""),"—")</f>
        <v/>
      </c>
    </row>
    <row r="259">
      <c r="AK259" s="14">
        <f>IFERROR(IF(AND(AG259&lt;&gt;"",AH259&lt;&gt;""),AG259*AH259,IF(AI259&lt;&gt;"",AI259,IF(AJ259&lt;&gt;"",AJ259*43560,""))),"ERROR")</f>
        <v/>
      </c>
      <c r="AL259" s="15">
        <f>IFERROR(IF(AK259&lt;&gt;"",AK259/43560,""),"—")</f>
        <v/>
      </c>
      <c r="AN259" s="14">
        <f>IFERROR(IF(AL259="","",IF(AL259&lt;2,"Residential (&lt;2ac)",IF(AL259&lt;10,"Small Rural (2-10ac)",IF(AL259&lt;40,"Rural (10-40ac)",IF(AL259&lt;100,"Farm/Estate (40-100ac)","Large Farm (100+ac)"))))),"—")</f>
        <v/>
      </c>
      <c r="AZ259" s="21" t="n"/>
      <c r="BF259" s="21" t="n"/>
      <c r="BG259" s="21" t="n"/>
      <c r="BH259" s="22">
        <f>IFERROR(IF(AND(BF259&lt;&gt;"",BG259&lt;&gt;""),AVERAGE(BF259,BG259),""),"—")</f>
        <v/>
      </c>
      <c r="BK259" s="21" t="n"/>
      <c r="BM259" s="21" t="n"/>
      <c r="BN259" s="28">
        <f>IFERROR(IF(AND(BK259&lt;&gt;"",BM259&lt;&gt;""),IF(BM259&lt;BK259,1,0),""),"")</f>
        <v/>
      </c>
      <c r="BP259" s="21" t="n"/>
      <c r="BS259" s="29">
        <f>IFERROR(IF(AND(BH259&lt;&gt;"",BK259&lt;&gt;""),(BH259-BK259)/BK259,""),"—")</f>
        <v/>
      </c>
      <c r="BT259" s="29">
        <f>IFERROR(IF(AND(BH259&lt;&gt;"",BP259&lt;&gt;""),(BH259-BP259)/BP259,""),"—")</f>
        <v/>
      </c>
      <c r="BU259" s="29">
        <f>IFERROR(IF(AND(BK259&lt;&gt;"",BP259&lt;&gt;""),(BP259-BK259)/BK259,""),"—")</f>
        <v/>
      </c>
    </row>
    <row r="260">
      <c r="AK260" s="14">
        <f>IFERROR(IF(AND(AG260&lt;&gt;"",AH260&lt;&gt;""),AG260*AH260,IF(AI260&lt;&gt;"",AI260,IF(AJ260&lt;&gt;"",AJ260*43560,""))),"ERROR")</f>
        <v/>
      </c>
      <c r="AL260" s="15">
        <f>IFERROR(IF(AK260&lt;&gt;"",AK260/43560,""),"—")</f>
        <v/>
      </c>
      <c r="AN260" s="14">
        <f>IFERROR(IF(AL260="","",IF(AL260&lt;2,"Residential (&lt;2ac)",IF(AL260&lt;10,"Small Rural (2-10ac)",IF(AL260&lt;40,"Rural (10-40ac)",IF(AL260&lt;100,"Farm/Estate (40-100ac)","Large Farm (100+ac)"))))),"—")</f>
        <v/>
      </c>
      <c r="AZ260" s="21" t="n"/>
      <c r="BF260" s="21" t="n"/>
      <c r="BG260" s="21" t="n"/>
      <c r="BH260" s="22">
        <f>IFERROR(IF(AND(BF260&lt;&gt;"",BG260&lt;&gt;""),AVERAGE(BF260,BG260),""),"—")</f>
        <v/>
      </c>
      <c r="BK260" s="21" t="n"/>
      <c r="BM260" s="21" t="n"/>
      <c r="BN260" s="28">
        <f>IFERROR(IF(AND(BK260&lt;&gt;"",BM260&lt;&gt;""),IF(BM260&lt;BK260,1,0),""),"")</f>
        <v/>
      </c>
      <c r="BP260" s="21" t="n"/>
      <c r="BS260" s="29">
        <f>IFERROR(IF(AND(BH260&lt;&gt;"",BK260&lt;&gt;""),(BH260-BK260)/BK260,""),"—")</f>
        <v/>
      </c>
      <c r="BT260" s="29">
        <f>IFERROR(IF(AND(BH260&lt;&gt;"",BP260&lt;&gt;""),(BH260-BP260)/BP260,""),"—")</f>
        <v/>
      </c>
      <c r="BU260" s="29">
        <f>IFERROR(IF(AND(BK260&lt;&gt;"",BP260&lt;&gt;""),(BP260-BK260)/BK260,""),"—")</f>
        <v/>
      </c>
    </row>
    <row r="261">
      <c r="AK261" s="14">
        <f>IFERROR(IF(AND(AG261&lt;&gt;"",AH261&lt;&gt;""),AG261*AH261,IF(AI261&lt;&gt;"",AI261,IF(AJ261&lt;&gt;"",AJ261*43560,""))),"ERROR")</f>
        <v/>
      </c>
      <c r="AL261" s="15">
        <f>IFERROR(IF(AK261&lt;&gt;"",AK261/43560,""),"—")</f>
        <v/>
      </c>
      <c r="AN261" s="14">
        <f>IFERROR(IF(AL261="","",IF(AL261&lt;2,"Residential (&lt;2ac)",IF(AL261&lt;10,"Small Rural (2-10ac)",IF(AL261&lt;40,"Rural (10-40ac)",IF(AL261&lt;100,"Farm/Estate (40-100ac)","Large Farm (100+ac)"))))),"—")</f>
        <v/>
      </c>
      <c r="AZ261" s="21" t="n"/>
      <c r="BF261" s="21" t="n"/>
      <c r="BG261" s="21" t="n"/>
      <c r="BH261" s="22">
        <f>IFERROR(IF(AND(BF261&lt;&gt;"",BG261&lt;&gt;""),AVERAGE(BF261,BG261),""),"—")</f>
        <v/>
      </c>
      <c r="BK261" s="21" t="n"/>
      <c r="BM261" s="21" t="n"/>
      <c r="BN261" s="28">
        <f>IFERROR(IF(AND(BK261&lt;&gt;"",BM261&lt;&gt;""),IF(BM261&lt;BK261,1,0),""),"")</f>
        <v/>
      </c>
      <c r="BP261" s="21" t="n"/>
      <c r="BS261" s="29">
        <f>IFERROR(IF(AND(BH261&lt;&gt;"",BK261&lt;&gt;""),(BH261-BK261)/BK261,""),"—")</f>
        <v/>
      </c>
      <c r="BT261" s="29">
        <f>IFERROR(IF(AND(BH261&lt;&gt;"",BP261&lt;&gt;""),(BH261-BP261)/BP261,""),"—")</f>
        <v/>
      </c>
      <c r="BU261" s="29">
        <f>IFERROR(IF(AND(BK261&lt;&gt;"",BP261&lt;&gt;""),(BP261-BK261)/BK261,""),"—")</f>
        <v/>
      </c>
    </row>
    <row r="262">
      <c r="AK262" s="14">
        <f>IFERROR(IF(AND(AG262&lt;&gt;"",AH262&lt;&gt;""),AG262*AH262,IF(AI262&lt;&gt;"",AI262,IF(AJ262&lt;&gt;"",AJ262*43560,""))),"ERROR")</f>
        <v/>
      </c>
      <c r="AL262" s="15">
        <f>IFERROR(IF(AK262&lt;&gt;"",AK262/43560,""),"—")</f>
        <v/>
      </c>
      <c r="AN262" s="14">
        <f>IFERROR(IF(AL262="","",IF(AL262&lt;2,"Residential (&lt;2ac)",IF(AL262&lt;10,"Small Rural (2-10ac)",IF(AL262&lt;40,"Rural (10-40ac)",IF(AL262&lt;100,"Farm/Estate (40-100ac)","Large Farm (100+ac)"))))),"—")</f>
        <v/>
      </c>
      <c r="AZ262" s="21" t="n"/>
      <c r="BF262" s="21" t="n"/>
      <c r="BG262" s="21" t="n"/>
      <c r="BH262" s="22">
        <f>IFERROR(IF(AND(BF262&lt;&gt;"",BG262&lt;&gt;""),AVERAGE(BF262,BG262),""),"—")</f>
        <v/>
      </c>
      <c r="BK262" s="21" t="n"/>
      <c r="BM262" s="21" t="n"/>
      <c r="BN262" s="28">
        <f>IFERROR(IF(AND(BK262&lt;&gt;"",BM262&lt;&gt;""),IF(BM262&lt;BK262,1,0),""),"")</f>
        <v/>
      </c>
      <c r="BP262" s="21" t="n"/>
      <c r="BS262" s="29">
        <f>IFERROR(IF(AND(BH262&lt;&gt;"",BK262&lt;&gt;""),(BH262-BK262)/BK262,""),"—")</f>
        <v/>
      </c>
      <c r="BT262" s="29">
        <f>IFERROR(IF(AND(BH262&lt;&gt;"",BP262&lt;&gt;""),(BH262-BP262)/BP262,""),"—")</f>
        <v/>
      </c>
      <c r="BU262" s="29">
        <f>IFERROR(IF(AND(BK262&lt;&gt;"",BP262&lt;&gt;""),(BP262-BK262)/BK262,""),"—")</f>
        <v/>
      </c>
    </row>
    <row r="263">
      <c r="AK263" s="14">
        <f>IFERROR(IF(AND(AG263&lt;&gt;"",AH263&lt;&gt;""),AG263*AH263,IF(AI263&lt;&gt;"",AI263,IF(AJ263&lt;&gt;"",AJ263*43560,""))),"ERROR")</f>
        <v/>
      </c>
      <c r="AL263" s="15">
        <f>IFERROR(IF(AK263&lt;&gt;"",AK263/43560,""),"—")</f>
        <v/>
      </c>
      <c r="AN263" s="14">
        <f>IFERROR(IF(AL263="","",IF(AL263&lt;2,"Residential (&lt;2ac)",IF(AL263&lt;10,"Small Rural (2-10ac)",IF(AL263&lt;40,"Rural (10-40ac)",IF(AL263&lt;100,"Farm/Estate (40-100ac)","Large Farm (100+ac)"))))),"—")</f>
        <v/>
      </c>
      <c r="AZ263" s="21" t="n"/>
      <c r="BF263" s="21" t="n"/>
      <c r="BG263" s="21" t="n"/>
      <c r="BH263" s="22">
        <f>IFERROR(IF(AND(BF263&lt;&gt;"",BG263&lt;&gt;""),AVERAGE(BF263,BG263),""),"—")</f>
        <v/>
      </c>
      <c r="BK263" s="21" t="n"/>
      <c r="BM263" s="21" t="n"/>
      <c r="BN263" s="28">
        <f>IFERROR(IF(AND(BK263&lt;&gt;"",BM263&lt;&gt;""),IF(BM263&lt;BK263,1,0),""),"")</f>
        <v/>
      </c>
      <c r="BP263" s="21" t="n"/>
      <c r="BS263" s="29">
        <f>IFERROR(IF(AND(BH263&lt;&gt;"",BK263&lt;&gt;""),(BH263-BK263)/BK263,""),"—")</f>
        <v/>
      </c>
      <c r="BT263" s="29">
        <f>IFERROR(IF(AND(BH263&lt;&gt;"",BP263&lt;&gt;""),(BH263-BP263)/BP263,""),"—")</f>
        <v/>
      </c>
      <c r="BU263" s="29">
        <f>IFERROR(IF(AND(BK263&lt;&gt;"",BP263&lt;&gt;""),(BP263-BK263)/BK263,""),"—")</f>
        <v/>
      </c>
    </row>
    <row r="264">
      <c r="AK264" s="14">
        <f>IFERROR(IF(AND(AG264&lt;&gt;"",AH264&lt;&gt;""),AG264*AH264,IF(AI264&lt;&gt;"",AI264,IF(AJ264&lt;&gt;"",AJ264*43560,""))),"ERROR")</f>
        <v/>
      </c>
      <c r="AL264" s="15">
        <f>IFERROR(IF(AK264&lt;&gt;"",AK264/43560,""),"—")</f>
        <v/>
      </c>
      <c r="AN264" s="14">
        <f>IFERROR(IF(AL264="","",IF(AL264&lt;2,"Residential (&lt;2ac)",IF(AL264&lt;10,"Small Rural (2-10ac)",IF(AL264&lt;40,"Rural (10-40ac)",IF(AL264&lt;100,"Farm/Estate (40-100ac)","Large Farm (100+ac)"))))),"—")</f>
        <v/>
      </c>
      <c r="AZ264" s="21" t="n"/>
      <c r="BF264" s="21" t="n"/>
      <c r="BG264" s="21" t="n"/>
      <c r="BH264" s="22">
        <f>IFERROR(IF(AND(BF264&lt;&gt;"",BG264&lt;&gt;""),AVERAGE(BF264,BG264),""),"—")</f>
        <v/>
      </c>
      <c r="BK264" s="21" t="n"/>
      <c r="BM264" s="21" t="n"/>
      <c r="BN264" s="28">
        <f>IFERROR(IF(AND(BK264&lt;&gt;"",BM264&lt;&gt;""),IF(BM264&lt;BK264,1,0),""),"")</f>
        <v/>
      </c>
      <c r="BP264" s="21" t="n"/>
      <c r="BS264" s="29">
        <f>IFERROR(IF(AND(BH264&lt;&gt;"",BK264&lt;&gt;""),(BH264-BK264)/BK264,""),"—")</f>
        <v/>
      </c>
      <c r="BT264" s="29">
        <f>IFERROR(IF(AND(BH264&lt;&gt;"",BP264&lt;&gt;""),(BH264-BP264)/BP264,""),"—")</f>
        <v/>
      </c>
      <c r="BU264" s="29">
        <f>IFERROR(IF(AND(BK264&lt;&gt;"",BP264&lt;&gt;""),(BP264-BK264)/BK264,""),"—")</f>
        <v/>
      </c>
    </row>
    <row r="265">
      <c r="AK265" s="14">
        <f>IFERROR(IF(AND(AG265&lt;&gt;"",AH265&lt;&gt;""),AG265*AH265,IF(AI265&lt;&gt;"",AI265,IF(AJ265&lt;&gt;"",AJ265*43560,""))),"ERROR")</f>
        <v/>
      </c>
      <c r="AL265" s="15">
        <f>IFERROR(IF(AK265&lt;&gt;"",AK265/43560,""),"—")</f>
        <v/>
      </c>
      <c r="AN265" s="14">
        <f>IFERROR(IF(AL265="","",IF(AL265&lt;2,"Residential (&lt;2ac)",IF(AL265&lt;10,"Small Rural (2-10ac)",IF(AL265&lt;40,"Rural (10-40ac)",IF(AL265&lt;100,"Farm/Estate (40-100ac)","Large Farm (100+ac)"))))),"—")</f>
        <v/>
      </c>
      <c r="AZ265" s="21" t="n"/>
      <c r="BF265" s="21" t="n"/>
      <c r="BG265" s="21" t="n"/>
      <c r="BH265" s="22">
        <f>IFERROR(IF(AND(BF265&lt;&gt;"",BG265&lt;&gt;""),AVERAGE(BF265,BG265),""),"—")</f>
        <v/>
      </c>
      <c r="BK265" s="21" t="n"/>
      <c r="BM265" s="21" t="n"/>
      <c r="BN265" s="28">
        <f>IFERROR(IF(AND(BK265&lt;&gt;"",BM265&lt;&gt;""),IF(BM265&lt;BK265,1,0),""),"")</f>
        <v/>
      </c>
      <c r="BP265" s="21" t="n"/>
      <c r="BS265" s="29">
        <f>IFERROR(IF(AND(BH265&lt;&gt;"",BK265&lt;&gt;""),(BH265-BK265)/BK265,""),"—")</f>
        <v/>
      </c>
      <c r="BT265" s="29">
        <f>IFERROR(IF(AND(BH265&lt;&gt;"",BP265&lt;&gt;""),(BH265-BP265)/BP265,""),"—")</f>
        <v/>
      </c>
      <c r="BU265" s="29">
        <f>IFERROR(IF(AND(BK265&lt;&gt;"",BP265&lt;&gt;""),(BP265-BK265)/BK265,""),"—")</f>
        <v/>
      </c>
    </row>
    <row r="266">
      <c r="AK266" s="14">
        <f>IFERROR(IF(AND(AG266&lt;&gt;"",AH266&lt;&gt;""),AG266*AH266,IF(AI266&lt;&gt;"",AI266,IF(AJ266&lt;&gt;"",AJ266*43560,""))),"ERROR")</f>
        <v/>
      </c>
      <c r="AL266" s="15">
        <f>IFERROR(IF(AK266&lt;&gt;"",AK266/43560,""),"—")</f>
        <v/>
      </c>
      <c r="AN266" s="14">
        <f>IFERROR(IF(AL266="","",IF(AL266&lt;2,"Residential (&lt;2ac)",IF(AL266&lt;10,"Small Rural (2-10ac)",IF(AL266&lt;40,"Rural (10-40ac)",IF(AL266&lt;100,"Farm/Estate (40-100ac)","Large Farm (100+ac)"))))),"—")</f>
        <v/>
      </c>
      <c r="AZ266" s="21" t="n"/>
      <c r="BF266" s="21" t="n"/>
      <c r="BG266" s="21" t="n"/>
      <c r="BH266" s="22">
        <f>IFERROR(IF(AND(BF266&lt;&gt;"",BG266&lt;&gt;""),AVERAGE(BF266,BG266),""),"—")</f>
        <v/>
      </c>
      <c r="BK266" s="21" t="n"/>
      <c r="BM266" s="21" t="n"/>
      <c r="BN266" s="28">
        <f>IFERROR(IF(AND(BK266&lt;&gt;"",BM266&lt;&gt;""),IF(BM266&lt;BK266,1,0),""),"")</f>
        <v/>
      </c>
      <c r="BP266" s="21" t="n"/>
      <c r="BS266" s="29">
        <f>IFERROR(IF(AND(BH266&lt;&gt;"",BK266&lt;&gt;""),(BH266-BK266)/BK266,""),"—")</f>
        <v/>
      </c>
      <c r="BT266" s="29">
        <f>IFERROR(IF(AND(BH266&lt;&gt;"",BP266&lt;&gt;""),(BH266-BP266)/BP266,""),"—")</f>
        <v/>
      </c>
      <c r="BU266" s="29">
        <f>IFERROR(IF(AND(BK266&lt;&gt;"",BP266&lt;&gt;""),(BP266-BK266)/BK266,""),"—")</f>
        <v/>
      </c>
    </row>
    <row r="267">
      <c r="AK267" s="14">
        <f>IFERROR(IF(AND(AG267&lt;&gt;"",AH267&lt;&gt;""),AG267*AH267,IF(AI267&lt;&gt;"",AI267,IF(AJ267&lt;&gt;"",AJ267*43560,""))),"ERROR")</f>
        <v/>
      </c>
      <c r="AL267" s="15">
        <f>IFERROR(IF(AK267&lt;&gt;"",AK267/43560,""),"—")</f>
        <v/>
      </c>
      <c r="AN267" s="14">
        <f>IFERROR(IF(AL267="","",IF(AL267&lt;2,"Residential (&lt;2ac)",IF(AL267&lt;10,"Small Rural (2-10ac)",IF(AL267&lt;40,"Rural (10-40ac)",IF(AL267&lt;100,"Farm/Estate (40-100ac)","Large Farm (100+ac)"))))),"—")</f>
        <v/>
      </c>
      <c r="AZ267" s="21" t="n"/>
      <c r="BF267" s="21" t="n"/>
      <c r="BG267" s="21" t="n"/>
      <c r="BH267" s="22">
        <f>IFERROR(IF(AND(BF267&lt;&gt;"",BG267&lt;&gt;""),AVERAGE(BF267,BG267),""),"—")</f>
        <v/>
      </c>
      <c r="BK267" s="21" t="n"/>
      <c r="BM267" s="21" t="n"/>
      <c r="BN267" s="28">
        <f>IFERROR(IF(AND(BK267&lt;&gt;"",BM267&lt;&gt;""),IF(BM267&lt;BK267,1,0),""),"")</f>
        <v/>
      </c>
      <c r="BP267" s="21" t="n"/>
      <c r="BS267" s="29">
        <f>IFERROR(IF(AND(BH267&lt;&gt;"",BK267&lt;&gt;""),(BH267-BK267)/BK267,""),"—")</f>
        <v/>
      </c>
      <c r="BT267" s="29">
        <f>IFERROR(IF(AND(BH267&lt;&gt;"",BP267&lt;&gt;""),(BH267-BP267)/BP267,""),"—")</f>
        <v/>
      </c>
      <c r="BU267" s="29">
        <f>IFERROR(IF(AND(BK267&lt;&gt;"",BP267&lt;&gt;""),(BP267-BK267)/BK267,""),"—")</f>
        <v/>
      </c>
    </row>
    <row r="268">
      <c r="AK268" s="14">
        <f>IFERROR(IF(AND(AG268&lt;&gt;"",AH268&lt;&gt;""),AG268*AH268,IF(AI268&lt;&gt;"",AI268,IF(AJ268&lt;&gt;"",AJ268*43560,""))),"ERROR")</f>
        <v/>
      </c>
      <c r="AL268" s="15">
        <f>IFERROR(IF(AK268&lt;&gt;"",AK268/43560,""),"—")</f>
        <v/>
      </c>
      <c r="AN268" s="14">
        <f>IFERROR(IF(AL268="","",IF(AL268&lt;2,"Residential (&lt;2ac)",IF(AL268&lt;10,"Small Rural (2-10ac)",IF(AL268&lt;40,"Rural (10-40ac)",IF(AL268&lt;100,"Farm/Estate (40-100ac)","Large Farm (100+ac)"))))),"—")</f>
        <v/>
      </c>
      <c r="AZ268" s="21" t="n"/>
      <c r="BF268" s="21" t="n"/>
      <c r="BG268" s="21" t="n"/>
      <c r="BH268" s="22">
        <f>IFERROR(IF(AND(BF268&lt;&gt;"",BG268&lt;&gt;""),AVERAGE(BF268,BG268),""),"—")</f>
        <v/>
      </c>
      <c r="BK268" s="21" t="n"/>
      <c r="BM268" s="21" t="n"/>
      <c r="BN268" s="28">
        <f>IFERROR(IF(AND(BK268&lt;&gt;"",BM268&lt;&gt;""),IF(BM268&lt;BK268,1,0),""),"")</f>
        <v/>
      </c>
      <c r="BP268" s="21" t="n"/>
      <c r="BS268" s="29">
        <f>IFERROR(IF(AND(BH268&lt;&gt;"",BK268&lt;&gt;""),(BH268-BK268)/BK268,""),"—")</f>
        <v/>
      </c>
      <c r="BT268" s="29">
        <f>IFERROR(IF(AND(BH268&lt;&gt;"",BP268&lt;&gt;""),(BH268-BP268)/BP268,""),"—")</f>
        <v/>
      </c>
      <c r="BU268" s="29">
        <f>IFERROR(IF(AND(BK268&lt;&gt;"",BP268&lt;&gt;""),(BP268-BK268)/BK268,""),"—")</f>
        <v/>
      </c>
    </row>
    <row r="269">
      <c r="AK269" s="14">
        <f>IFERROR(IF(AND(AG269&lt;&gt;"",AH269&lt;&gt;""),AG269*AH269,IF(AI269&lt;&gt;"",AI269,IF(AJ269&lt;&gt;"",AJ269*43560,""))),"ERROR")</f>
        <v/>
      </c>
      <c r="AL269" s="15">
        <f>IFERROR(IF(AK269&lt;&gt;"",AK269/43560,""),"—")</f>
        <v/>
      </c>
      <c r="AN269" s="14">
        <f>IFERROR(IF(AL269="","",IF(AL269&lt;2,"Residential (&lt;2ac)",IF(AL269&lt;10,"Small Rural (2-10ac)",IF(AL269&lt;40,"Rural (10-40ac)",IF(AL269&lt;100,"Farm/Estate (40-100ac)","Large Farm (100+ac)"))))),"—")</f>
        <v/>
      </c>
      <c r="AZ269" s="21" t="n"/>
      <c r="BF269" s="21" t="n"/>
      <c r="BG269" s="21" t="n"/>
      <c r="BH269" s="22">
        <f>IFERROR(IF(AND(BF269&lt;&gt;"",BG269&lt;&gt;""),AVERAGE(BF269,BG269),""),"—")</f>
        <v/>
      </c>
      <c r="BK269" s="21" t="n"/>
      <c r="BM269" s="21" t="n"/>
      <c r="BN269" s="28">
        <f>IFERROR(IF(AND(BK269&lt;&gt;"",BM269&lt;&gt;""),IF(BM269&lt;BK269,1,0),""),"")</f>
        <v/>
      </c>
      <c r="BP269" s="21" t="n"/>
      <c r="BS269" s="29">
        <f>IFERROR(IF(AND(BH269&lt;&gt;"",BK269&lt;&gt;""),(BH269-BK269)/BK269,""),"—")</f>
        <v/>
      </c>
      <c r="BT269" s="29">
        <f>IFERROR(IF(AND(BH269&lt;&gt;"",BP269&lt;&gt;""),(BH269-BP269)/BP269,""),"—")</f>
        <v/>
      </c>
      <c r="BU269" s="29">
        <f>IFERROR(IF(AND(BK269&lt;&gt;"",BP269&lt;&gt;""),(BP269-BK269)/BK269,""),"—")</f>
        <v/>
      </c>
    </row>
    <row r="270">
      <c r="AK270" s="14">
        <f>IFERROR(IF(AND(AG270&lt;&gt;"",AH270&lt;&gt;""),AG270*AH270,IF(AI270&lt;&gt;"",AI270,IF(AJ270&lt;&gt;"",AJ270*43560,""))),"ERROR")</f>
        <v/>
      </c>
      <c r="AL270" s="15">
        <f>IFERROR(IF(AK270&lt;&gt;"",AK270/43560,""),"—")</f>
        <v/>
      </c>
      <c r="AN270" s="14">
        <f>IFERROR(IF(AL270="","",IF(AL270&lt;2,"Residential (&lt;2ac)",IF(AL270&lt;10,"Small Rural (2-10ac)",IF(AL270&lt;40,"Rural (10-40ac)",IF(AL270&lt;100,"Farm/Estate (40-100ac)","Large Farm (100+ac)"))))),"—")</f>
        <v/>
      </c>
      <c r="AZ270" s="21" t="n"/>
      <c r="BF270" s="21" t="n"/>
      <c r="BG270" s="21" t="n"/>
      <c r="BH270" s="22">
        <f>IFERROR(IF(AND(BF270&lt;&gt;"",BG270&lt;&gt;""),AVERAGE(BF270,BG270),""),"—")</f>
        <v/>
      </c>
      <c r="BK270" s="21" t="n"/>
      <c r="BM270" s="21" t="n"/>
      <c r="BN270" s="28">
        <f>IFERROR(IF(AND(BK270&lt;&gt;"",BM270&lt;&gt;""),IF(BM270&lt;BK270,1,0),""),"")</f>
        <v/>
      </c>
      <c r="BP270" s="21" t="n"/>
      <c r="BS270" s="29">
        <f>IFERROR(IF(AND(BH270&lt;&gt;"",BK270&lt;&gt;""),(BH270-BK270)/BK270,""),"—")</f>
        <v/>
      </c>
      <c r="BT270" s="29">
        <f>IFERROR(IF(AND(BH270&lt;&gt;"",BP270&lt;&gt;""),(BH270-BP270)/BP270,""),"—")</f>
        <v/>
      </c>
      <c r="BU270" s="29">
        <f>IFERROR(IF(AND(BK270&lt;&gt;"",BP270&lt;&gt;""),(BP270-BK270)/BK270,""),"—")</f>
        <v/>
      </c>
    </row>
    <row r="271">
      <c r="AK271" s="14">
        <f>IFERROR(IF(AND(AG271&lt;&gt;"",AH271&lt;&gt;""),AG271*AH271,IF(AI271&lt;&gt;"",AI271,IF(AJ271&lt;&gt;"",AJ271*43560,""))),"ERROR")</f>
        <v/>
      </c>
      <c r="AL271" s="15">
        <f>IFERROR(IF(AK271&lt;&gt;"",AK271/43560,""),"—")</f>
        <v/>
      </c>
      <c r="AN271" s="14">
        <f>IFERROR(IF(AL271="","",IF(AL271&lt;2,"Residential (&lt;2ac)",IF(AL271&lt;10,"Small Rural (2-10ac)",IF(AL271&lt;40,"Rural (10-40ac)",IF(AL271&lt;100,"Farm/Estate (40-100ac)","Large Farm (100+ac)"))))),"—")</f>
        <v/>
      </c>
      <c r="AZ271" s="21" t="n"/>
      <c r="BF271" s="21" t="n"/>
      <c r="BG271" s="21" t="n"/>
      <c r="BH271" s="22">
        <f>IFERROR(IF(AND(BF271&lt;&gt;"",BG271&lt;&gt;""),AVERAGE(BF271,BG271),""),"—")</f>
        <v/>
      </c>
      <c r="BK271" s="21" t="n"/>
      <c r="BM271" s="21" t="n"/>
      <c r="BN271" s="28">
        <f>IFERROR(IF(AND(BK271&lt;&gt;"",BM271&lt;&gt;""),IF(BM271&lt;BK271,1,0),""),"")</f>
        <v/>
      </c>
      <c r="BP271" s="21" t="n"/>
      <c r="BS271" s="29">
        <f>IFERROR(IF(AND(BH271&lt;&gt;"",BK271&lt;&gt;""),(BH271-BK271)/BK271,""),"—")</f>
        <v/>
      </c>
      <c r="BT271" s="29">
        <f>IFERROR(IF(AND(BH271&lt;&gt;"",BP271&lt;&gt;""),(BH271-BP271)/BP271,""),"—")</f>
        <v/>
      </c>
      <c r="BU271" s="29">
        <f>IFERROR(IF(AND(BK271&lt;&gt;"",BP271&lt;&gt;""),(BP271-BK271)/BK271,""),"—")</f>
        <v/>
      </c>
    </row>
    <row r="272">
      <c r="AK272" s="14">
        <f>IFERROR(IF(AND(AG272&lt;&gt;"",AH272&lt;&gt;""),AG272*AH272,IF(AI272&lt;&gt;"",AI272,IF(AJ272&lt;&gt;"",AJ272*43560,""))),"ERROR")</f>
        <v/>
      </c>
      <c r="AL272" s="15">
        <f>IFERROR(IF(AK272&lt;&gt;"",AK272/43560,""),"—")</f>
        <v/>
      </c>
      <c r="AN272" s="14">
        <f>IFERROR(IF(AL272="","",IF(AL272&lt;2,"Residential (&lt;2ac)",IF(AL272&lt;10,"Small Rural (2-10ac)",IF(AL272&lt;40,"Rural (10-40ac)",IF(AL272&lt;100,"Farm/Estate (40-100ac)","Large Farm (100+ac)"))))),"—")</f>
        <v/>
      </c>
      <c r="AZ272" s="21" t="n"/>
      <c r="BF272" s="21" t="n"/>
      <c r="BG272" s="21" t="n"/>
      <c r="BH272" s="22">
        <f>IFERROR(IF(AND(BF272&lt;&gt;"",BG272&lt;&gt;""),AVERAGE(BF272,BG272),""),"—")</f>
        <v/>
      </c>
      <c r="BK272" s="21" t="n"/>
      <c r="BM272" s="21" t="n"/>
      <c r="BN272" s="28">
        <f>IFERROR(IF(AND(BK272&lt;&gt;"",BM272&lt;&gt;""),IF(BM272&lt;BK272,1,0),""),"")</f>
        <v/>
      </c>
      <c r="BP272" s="21" t="n"/>
      <c r="BS272" s="29">
        <f>IFERROR(IF(AND(BH272&lt;&gt;"",BK272&lt;&gt;""),(BH272-BK272)/BK272,""),"—")</f>
        <v/>
      </c>
      <c r="BT272" s="29">
        <f>IFERROR(IF(AND(BH272&lt;&gt;"",BP272&lt;&gt;""),(BH272-BP272)/BP272,""),"—")</f>
        <v/>
      </c>
      <c r="BU272" s="29">
        <f>IFERROR(IF(AND(BK272&lt;&gt;"",BP272&lt;&gt;""),(BP272-BK272)/BK272,""),"—")</f>
        <v/>
      </c>
    </row>
    <row r="273">
      <c r="AK273" s="14">
        <f>IFERROR(IF(AND(AG273&lt;&gt;"",AH273&lt;&gt;""),AG273*AH273,IF(AI273&lt;&gt;"",AI273,IF(AJ273&lt;&gt;"",AJ273*43560,""))),"ERROR")</f>
        <v/>
      </c>
      <c r="AL273" s="15">
        <f>IFERROR(IF(AK273&lt;&gt;"",AK273/43560,""),"—")</f>
        <v/>
      </c>
      <c r="AN273" s="14">
        <f>IFERROR(IF(AL273="","",IF(AL273&lt;2,"Residential (&lt;2ac)",IF(AL273&lt;10,"Small Rural (2-10ac)",IF(AL273&lt;40,"Rural (10-40ac)",IF(AL273&lt;100,"Farm/Estate (40-100ac)","Large Farm (100+ac)"))))),"—")</f>
        <v/>
      </c>
      <c r="AZ273" s="21" t="n"/>
      <c r="BF273" s="21" t="n"/>
      <c r="BG273" s="21" t="n"/>
      <c r="BH273" s="22">
        <f>IFERROR(IF(AND(BF273&lt;&gt;"",BG273&lt;&gt;""),AVERAGE(BF273,BG273),""),"—")</f>
        <v/>
      </c>
      <c r="BK273" s="21" t="n"/>
      <c r="BM273" s="21" t="n"/>
      <c r="BN273" s="28">
        <f>IFERROR(IF(AND(BK273&lt;&gt;"",BM273&lt;&gt;""),IF(BM273&lt;BK273,1,0),""),"")</f>
        <v/>
      </c>
      <c r="BP273" s="21" t="n"/>
      <c r="BS273" s="29">
        <f>IFERROR(IF(AND(BH273&lt;&gt;"",BK273&lt;&gt;""),(BH273-BK273)/BK273,""),"—")</f>
        <v/>
      </c>
      <c r="BT273" s="29">
        <f>IFERROR(IF(AND(BH273&lt;&gt;"",BP273&lt;&gt;""),(BH273-BP273)/BP273,""),"—")</f>
        <v/>
      </c>
      <c r="BU273" s="29">
        <f>IFERROR(IF(AND(BK273&lt;&gt;"",BP273&lt;&gt;""),(BP273-BK273)/BK273,""),"—")</f>
        <v/>
      </c>
    </row>
    <row r="274">
      <c r="AK274" s="14">
        <f>IFERROR(IF(AND(AG274&lt;&gt;"",AH274&lt;&gt;""),AG274*AH274,IF(AI274&lt;&gt;"",AI274,IF(AJ274&lt;&gt;"",AJ274*43560,""))),"ERROR")</f>
        <v/>
      </c>
      <c r="AL274" s="15">
        <f>IFERROR(IF(AK274&lt;&gt;"",AK274/43560,""),"—")</f>
        <v/>
      </c>
      <c r="AN274" s="14">
        <f>IFERROR(IF(AL274="","",IF(AL274&lt;2,"Residential (&lt;2ac)",IF(AL274&lt;10,"Small Rural (2-10ac)",IF(AL274&lt;40,"Rural (10-40ac)",IF(AL274&lt;100,"Farm/Estate (40-100ac)","Large Farm (100+ac)"))))),"—")</f>
        <v/>
      </c>
      <c r="AZ274" s="21" t="n"/>
      <c r="BF274" s="21" t="n"/>
      <c r="BG274" s="21" t="n"/>
      <c r="BH274" s="22">
        <f>IFERROR(IF(AND(BF274&lt;&gt;"",BG274&lt;&gt;""),AVERAGE(BF274,BG274),""),"—")</f>
        <v/>
      </c>
      <c r="BK274" s="21" t="n"/>
      <c r="BM274" s="21" t="n"/>
      <c r="BN274" s="28">
        <f>IFERROR(IF(AND(BK274&lt;&gt;"",BM274&lt;&gt;""),IF(BM274&lt;BK274,1,0),""),"")</f>
        <v/>
      </c>
      <c r="BP274" s="21" t="n"/>
      <c r="BS274" s="29">
        <f>IFERROR(IF(AND(BH274&lt;&gt;"",BK274&lt;&gt;""),(BH274-BK274)/BK274,""),"—")</f>
        <v/>
      </c>
      <c r="BT274" s="29">
        <f>IFERROR(IF(AND(BH274&lt;&gt;"",BP274&lt;&gt;""),(BH274-BP274)/BP274,""),"—")</f>
        <v/>
      </c>
      <c r="BU274" s="29">
        <f>IFERROR(IF(AND(BK274&lt;&gt;"",BP274&lt;&gt;""),(BP274-BK274)/BK274,""),"—")</f>
        <v/>
      </c>
    </row>
    <row r="275">
      <c r="AK275" s="14">
        <f>IFERROR(IF(AND(AG275&lt;&gt;"",AH275&lt;&gt;""),AG275*AH275,IF(AI275&lt;&gt;"",AI275,IF(AJ275&lt;&gt;"",AJ275*43560,""))),"ERROR")</f>
        <v/>
      </c>
      <c r="AL275" s="15">
        <f>IFERROR(IF(AK275&lt;&gt;"",AK275/43560,""),"—")</f>
        <v/>
      </c>
      <c r="AN275" s="14">
        <f>IFERROR(IF(AL275="","",IF(AL275&lt;2,"Residential (&lt;2ac)",IF(AL275&lt;10,"Small Rural (2-10ac)",IF(AL275&lt;40,"Rural (10-40ac)",IF(AL275&lt;100,"Farm/Estate (40-100ac)","Large Farm (100+ac)"))))),"—")</f>
        <v/>
      </c>
      <c r="AZ275" s="21" t="n"/>
      <c r="BF275" s="21" t="n"/>
      <c r="BG275" s="21" t="n"/>
      <c r="BH275" s="22">
        <f>IFERROR(IF(AND(BF275&lt;&gt;"",BG275&lt;&gt;""),AVERAGE(BF275,BG275),""),"—")</f>
        <v/>
      </c>
      <c r="BK275" s="21" t="n"/>
      <c r="BM275" s="21" t="n"/>
      <c r="BN275" s="28">
        <f>IFERROR(IF(AND(BK275&lt;&gt;"",BM275&lt;&gt;""),IF(BM275&lt;BK275,1,0),""),"")</f>
        <v/>
      </c>
      <c r="BP275" s="21" t="n"/>
      <c r="BS275" s="29">
        <f>IFERROR(IF(AND(BH275&lt;&gt;"",BK275&lt;&gt;""),(BH275-BK275)/BK275,""),"—")</f>
        <v/>
      </c>
      <c r="BT275" s="29">
        <f>IFERROR(IF(AND(BH275&lt;&gt;"",BP275&lt;&gt;""),(BH275-BP275)/BP275,""),"—")</f>
        <v/>
      </c>
      <c r="BU275" s="29">
        <f>IFERROR(IF(AND(BK275&lt;&gt;"",BP275&lt;&gt;""),(BP275-BK275)/BK275,""),"—")</f>
        <v/>
      </c>
    </row>
    <row r="276">
      <c r="AK276" s="14">
        <f>IFERROR(IF(AND(AG276&lt;&gt;"",AH276&lt;&gt;""),AG276*AH276,IF(AI276&lt;&gt;"",AI276,IF(AJ276&lt;&gt;"",AJ276*43560,""))),"ERROR")</f>
        <v/>
      </c>
      <c r="AL276" s="15">
        <f>IFERROR(IF(AK276&lt;&gt;"",AK276/43560,""),"—")</f>
        <v/>
      </c>
      <c r="AN276" s="14">
        <f>IFERROR(IF(AL276="","",IF(AL276&lt;2,"Residential (&lt;2ac)",IF(AL276&lt;10,"Small Rural (2-10ac)",IF(AL276&lt;40,"Rural (10-40ac)",IF(AL276&lt;100,"Farm/Estate (40-100ac)","Large Farm (100+ac)"))))),"—")</f>
        <v/>
      </c>
      <c r="AZ276" s="21" t="n"/>
      <c r="BF276" s="21" t="n"/>
      <c r="BG276" s="21" t="n"/>
      <c r="BH276" s="22">
        <f>IFERROR(IF(AND(BF276&lt;&gt;"",BG276&lt;&gt;""),AVERAGE(BF276,BG276),""),"—")</f>
        <v/>
      </c>
      <c r="BK276" s="21" t="n"/>
      <c r="BM276" s="21" t="n"/>
      <c r="BN276" s="28">
        <f>IFERROR(IF(AND(BK276&lt;&gt;"",BM276&lt;&gt;""),IF(BM276&lt;BK276,1,0),""),"")</f>
        <v/>
      </c>
      <c r="BP276" s="21" t="n"/>
      <c r="BS276" s="29">
        <f>IFERROR(IF(AND(BH276&lt;&gt;"",BK276&lt;&gt;""),(BH276-BK276)/BK276,""),"—")</f>
        <v/>
      </c>
      <c r="BT276" s="29">
        <f>IFERROR(IF(AND(BH276&lt;&gt;"",BP276&lt;&gt;""),(BH276-BP276)/BP276,""),"—")</f>
        <v/>
      </c>
      <c r="BU276" s="29">
        <f>IFERROR(IF(AND(BK276&lt;&gt;"",BP276&lt;&gt;""),(BP276-BK276)/BK276,""),"—")</f>
        <v/>
      </c>
    </row>
    <row r="277">
      <c r="AK277" s="14">
        <f>IFERROR(IF(AND(AG277&lt;&gt;"",AH277&lt;&gt;""),AG277*AH277,IF(AI277&lt;&gt;"",AI277,IF(AJ277&lt;&gt;"",AJ277*43560,""))),"ERROR")</f>
        <v/>
      </c>
      <c r="AL277" s="15">
        <f>IFERROR(IF(AK277&lt;&gt;"",AK277/43560,""),"—")</f>
        <v/>
      </c>
      <c r="AN277" s="14">
        <f>IFERROR(IF(AL277="","",IF(AL277&lt;2,"Residential (&lt;2ac)",IF(AL277&lt;10,"Small Rural (2-10ac)",IF(AL277&lt;40,"Rural (10-40ac)",IF(AL277&lt;100,"Farm/Estate (40-100ac)","Large Farm (100+ac)"))))),"—")</f>
        <v/>
      </c>
      <c r="AZ277" s="21" t="n"/>
      <c r="BF277" s="21" t="n"/>
      <c r="BG277" s="21" t="n"/>
      <c r="BH277" s="22">
        <f>IFERROR(IF(AND(BF277&lt;&gt;"",BG277&lt;&gt;""),AVERAGE(BF277,BG277),""),"—")</f>
        <v/>
      </c>
      <c r="BK277" s="21" t="n"/>
      <c r="BM277" s="21" t="n"/>
      <c r="BN277" s="28">
        <f>IFERROR(IF(AND(BK277&lt;&gt;"",BM277&lt;&gt;""),IF(BM277&lt;BK277,1,0),""),"")</f>
        <v/>
      </c>
      <c r="BP277" s="21" t="n"/>
      <c r="BS277" s="29">
        <f>IFERROR(IF(AND(BH277&lt;&gt;"",BK277&lt;&gt;""),(BH277-BK277)/BK277,""),"—")</f>
        <v/>
      </c>
      <c r="BT277" s="29">
        <f>IFERROR(IF(AND(BH277&lt;&gt;"",BP277&lt;&gt;""),(BH277-BP277)/BP277,""),"—")</f>
        <v/>
      </c>
      <c r="BU277" s="29">
        <f>IFERROR(IF(AND(BK277&lt;&gt;"",BP277&lt;&gt;""),(BP277-BK277)/BK277,""),"—")</f>
        <v/>
      </c>
    </row>
    <row r="278">
      <c r="AK278" s="14">
        <f>IFERROR(IF(AND(AG278&lt;&gt;"",AH278&lt;&gt;""),AG278*AH278,IF(AI278&lt;&gt;"",AI278,IF(AJ278&lt;&gt;"",AJ278*43560,""))),"ERROR")</f>
        <v/>
      </c>
      <c r="AL278" s="15">
        <f>IFERROR(IF(AK278&lt;&gt;"",AK278/43560,""),"—")</f>
        <v/>
      </c>
      <c r="AN278" s="14">
        <f>IFERROR(IF(AL278="","",IF(AL278&lt;2,"Residential (&lt;2ac)",IF(AL278&lt;10,"Small Rural (2-10ac)",IF(AL278&lt;40,"Rural (10-40ac)",IF(AL278&lt;100,"Farm/Estate (40-100ac)","Large Farm (100+ac)"))))),"—")</f>
        <v/>
      </c>
      <c r="AZ278" s="21" t="n"/>
      <c r="BF278" s="21" t="n"/>
      <c r="BG278" s="21" t="n"/>
      <c r="BH278" s="22">
        <f>IFERROR(IF(AND(BF278&lt;&gt;"",BG278&lt;&gt;""),AVERAGE(BF278,BG278),""),"—")</f>
        <v/>
      </c>
      <c r="BK278" s="21" t="n"/>
      <c r="BM278" s="21" t="n"/>
      <c r="BN278" s="28">
        <f>IFERROR(IF(AND(BK278&lt;&gt;"",BM278&lt;&gt;""),IF(BM278&lt;BK278,1,0),""),"")</f>
        <v/>
      </c>
      <c r="BP278" s="21" t="n"/>
      <c r="BS278" s="29">
        <f>IFERROR(IF(AND(BH278&lt;&gt;"",BK278&lt;&gt;""),(BH278-BK278)/BK278,""),"—")</f>
        <v/>
      </c>
      <c r="BT278" s="29">
        <f>IFERROR(IF(AND(BH278&lt;&gt;"",BP278&lt;&gt;""),(BH278-BP278)/BP278,""),"—")</f>
        <v/>
      </c>
      <c r="BU278" s="29">
        <f>IFERROR(IF(AND(BK278&lt;&gt;"",BP278&lt;&gt;""),(BP278-BK278)/BK278,""),"—")</f>
        <v/>
      </c>
    </row>
    <row r="279">
      <c r="AK279" s="14">
        <f>IFERROR(IF(AND(AG279&lt;&gt;"",AH279&lt;&gt;""),AG279*AH279,IF(AI279&lt;&gt;"",AI279,IF(AJ279&lt;&gt;"",AJ279*43560,""))),"ERROR")</f>
        <v/>
      </c>
      <c r="AL279" s="15">
        <f>IFERROR(IF(AK279&lt;&gt;"",AK279/43560,""),"—")</f>
        <v/>
      </c>
      <c r="AN279" s="14">
        <f>IFERROR(IF(AL279="","",IF(AL279&lt;2,"Residential (&lt;2ac)",IF(AL279&lt;10,"Small Rural (2-10ac)",IF(AL279&lt;40,"Rural (10-40ac)",IF(AL279&lt;100,"Farm/Estate (40-100ac)","Large Farm (100+ac)"))))),"—")</f>
        <v/>
      </c>
      <c r="AZ279" s="21" t="n"/>
      <c r="BF279" s="21" t="n"/>
      <c r="BG279" s="21" t="n"/>
      <c r="BH279" s="22">
        <f>IFERROR(IF(AND(BF279&lt;&gt;"",BG279&lt;&gt;""),AVERAGE(BF279,BG279),""),"—")</f>
        <v/>
      </c>
      <c r="BK279" s="21" t="n"/>
      <c r="BM279" s="21" t="n"/>
      <c r="BN279" s="28">
        <f>IFERROR(IF(AND(BK279&lt;&gt;"",BM279&lt;&gt;""),IF(BM279&lt;BK279,1,0),""),"")</f>
        <v/>
      </c>
      <c r="BP279" s="21" t="n"/>
      <c r="BS279" s="29">
        <f>IFERROR(IF(AND(BH279&lt;&gt;"",BK279&lt;&gt;""),(BH279-BK279)/BK279,""),"—")</f>
        <v/>
      </c>
      <c r="BT279" s="29">
        <f>IFERROR(IF(AND(BH279&lt;&gt;"",BP279&lt;&gt;""),(BH279-BP279)/BP279,""),"—")</f>
        <v/>
      </c>
      <c r="BU279" s="29">
        <f>IFERROR(IF(AND(BK279&lt;&gt;"",BP279&lt;&gt;""),(BP279-BK279)/BK279,""),"—")</f>
        <v/>
      </c>
    </row>
    <row r="280">
      <c r="AK280" s="14">
        <f>IFERROR(IF(AND(AG280&lt;&gt;"",AH280&lt;&gt;""),AG280*AH280,IF(AI280&lt;&gt;"",AI280,IF(AJ280&lt;&gt;"",AJ280*43560,""))),"ERROR")</f>
        <v/>
      </c>
      <c r="AL280" s="15">
        <f>IFERROR(IF(AK280&lt;&gt;"",AK280/43560,""),"—")</f>
        <v/>
      </c>
      <c r="AN280" s="14">
        <f>IFERROR(IF(AL280="","",IF(AL280&lt;2,"Residential (&lt;2ac)",IF(AL280&lt;10,"Small Rural (2-10ac)",IF(AL280&lt;40,"Rural (10-40ac)",IF(AL280&lt;100,"Farm/Estate (40-100ac)","Large Farm (100+ac)"))))),"—")</f>
        <v/>
      </c>
      <c r="AZ280" s="21" t="n"/>
      <c r="BF280" s="21" t="n"/>
      <c r="BG280" s="21" t="n"/>
      <c r="BH280" s="22">
        <f>IFERROR(IF(AND(BF280&lt;&gt;"",BG280&lt;&gt;""),AVERAGE(BF280,BG280),""),"—")</f>
        <v/>
      </c>
      <c r="BK280" s="21" t="n"/>
      <c r="BM280" s="21" t="n"/>
      <c r="BN280" s="28">
        <f>IFERROR(IF(AND(BK280&lt;&gt;"",BM280&lt;&gt;""),IF(BM280&lt;BK280,1,0),""),"")</f>
        <v/>
      </c>
      <c r="BP280" s="21" t="n"/>
      <c r="BS280" s="29">
        <f>IFERROR(IF(AND(BH280&lt;&gt;"",BK280&lt;&gt;""),(BH280-BK280)/BK280,""),"—")</f>
        <v/>
      </c>
      <c r="BT280" s="29">
        <f>IFERROR(IF(AND(BH280&lt;&gt;"",BP280&lt;&gt;""),(BH280-BP280)/BP280,""),"—")</f>
        <v/>
      </c>
      <c r="BU280" s="29">
        <f>IFERROR(IF(AND(BK280&lt;&gt;"",BP280&lt;&gt;""),(BP280-BK280)/BK280,""),"—")</f>
        <v/>
      </c>
    </row>
    <row r="281">
      <c r="AK281" s="14">
        <f>IFERROR(IF(AND(AG281&lt;&gt;"",AH281&lt;&gt;""),AG281*AH281,IF(AI281&lt;&gt;"",AI281,IF(AJ281&lt;&gt;"",AJ281*43560,""))),"ERROR")</f>
        <v/>
      </c>
      <c r="AL281" s="15">
        <f>IFERROR(IF(AK281&lt;&gt;"",AK281/43560,""),"—")</f>
        <v/>
      </c>
      <c r="AN281" s="14">
        <f>IFERROR(IF(AL281="","",IF(AL281&lt;2,"Residential (&lt;2ac)",IF(AL281&lt;10,"Small Rural (2-10ac)",IF(AL281&lt;40,"Rural (10-40ac)",IF(AL281&lt;100,"Farm/Estate (40-100ac)","Large Farm (100+ac)"))))),"—")</f>
        <v/>
      </c>
      <c r="AZ281" s="21" t="n"/>
      <c r="BF281" s="21" t="n"/>
      <c r="BG281" s="21" t="n"/>
      <c r="BH281" s="22">
        <f>IFERROR(IF(AND(BF281&lt;&gt;"",BG281&lt;&gt;""),AVERAGE(BF281,BG281),""),"—")</f>
        <v/>
      </c>
      <c r="BK281" s="21" t="n"/>
      <c r="BM281" s="21" t="n"/>
      <c r="BN281" s="28">
        <f>IFERROR(IF(AND(BK281&lt;&gt;"",BM281&lt;&gt;""),IF(BM281&lt;BK281,1,0),""),"")</f>
        <v/>
      </c>
      <c r="BP281" s="21" t="n"/>
      <c r="BS281" s="29">
        <f>IFERROR(IF(AND(BH281&lt;&gt;"",BK281&lt;&gt;""),(BH281-BK281)/BK281,""),"—")</f>
        <v/>
      </c>
      <c r="BT281" s="29">
        <f>IFERROR(IF(AND(BH281&lt;&gt;"",BP281&lt;&gt;""),(BH281-BP281)/BP281,""),"—")</f>
        <v/>
      </c>
      <c r="BU281" s="29">
        <f>IFERROR(IF(AND(BK281&lt;&gt;"",BP281&lt;&gt;""),(BP281-BK281)/BK281,""),"—")</f>
        <v/>
      </c>
    </row>
    <row r="282">
      <c r="AK282" s="14">
        <f>IFERROR(IF(AND(AG282&lt;&gt;"",AH282&lt;&gt;""),AG282*AH282,IF(AI282&lt;&gt;"",AI282,IF(AJ282&lt;&gt;"",AJ282*43560,""))),"ERROR")</f>
        <v/>
      </c>
      <c r="AL282" s="15">
        <f>IFERROR(IF(AK282&lt;&gt;"",AK282/43560,""),"—")</f>
        <v/>
      </c>
      <c r="AN282" s="14">
        <f>IFERROR(IF(AL282="","",IF(AL282&lt;2,"Residential (&lt;2ac)",IF(AL282&lt;10,"Small Rural (2-10ac)",IF(AL282&lt;40,"Rural (10-40ac)",IF(AL282&lt;100,"Farm/Estate (40-100ac)","Large Farm (100+ac)"))))),"—")</f>
        <v/>
      </c>
      <c r="AZ282" s="21" t="n"/>
      <c r="BF282" s="21" t="n"/>
      <c r="BG282" s="21" t="n"/>
      <c r="BH282" s="22">
        <f>IFERROR(IF(AND(BF282&lt;&gt;"",BG282&lt;&gt;""),AVERAGE(BF282,BG282),""),"—")</f>
        <v/>
      </c>
      <c r="BK282" s="21" t="n"/>
      <c r="BM282" s="21" t="n"/>
      <c r="BN282" s="28">
        <f>IFERROR(IF(AND(BK282&lt;&gt;"",BM282&lt;&gt;""),IF(BM282&lt;BK282,1,0),""),"")</f>
        <v/>
      </c>
      <c r="BP282" s="21" t="n"/>
      <c r="BS282" s="29">
        <f>IFERROR(IF(AND(BH282&lt;&gt;"",BK282&lt;&gt;""),(BH282-BK282)/BK282,""),"—")</f>
        <v/>
      </c>
      <c r="BT282" s="29">
        <f>IFERROR(IF(AND(BH282&lt;&gt;"",BP282&lt;&gt;""),(BH282-BP282)/BP282,""),"—")</f>
        <v/>
      </c>
      <c r="BU282" s="29">
        <f>IFERROR(IF(AND(BK282&lt;&gt;"",BP282&lt;&gt;""),(BP282-BK282)/BK282,""),"—")</f>
        <v/>
      </c>
    </row>
    <row r="283">
      <c r="AK283" s="14">
        <f>IFERROR(IF(AND(AG283&lt;&gt;"",AH283&lt;&gt;""),AG283*AH283,IF(AI283&lt;&gt;"",AI283,IF(AJ283&lt;&gt;"",AJ283*43560,""))),"ERROR")</f>
        <v/>
      </c>
      <c r="AL283" s="15">
        <f>IFERROR(IF(AK283&lt;&gt;"",AK283/43560,""),"—")</f>
        <v/>
      </c>
      <c r="AN283" s="14">
        <f>IFERROR(IF(AL283="","",IF(AL283&lt;2,"Residential (&lt;2ac)",IF(AL283&lt;10,"Small Rural (2-10ac)",IF(AL283&lt;40,"Rural (10-40ac)",IF(AL283&lt;100,"Farm/Estate (40-100ac)","Large Farm (100+ac)"))))),"—")</f>
        <v/>
      </c>
      <c r="AZ283" s="21" t="n"/>
      <c r="BF283" s="21" t="n"/>
      <c r="BG283" s="21" t="n"/>
      <c r="BH283" s="22">
        <f>IFERROR(IF(AND(BF283&lt;&gt;"",BG283&lt;&gt;""),AVERAGE(BF283,BG283),""),"—")</f>
        <v/>
      </c>
      <c r="BK283" s="21" t="n"/>
      <c r="BM283" s="21" t="n"/>
      <c r="BN283" s="28">
        <f>IFERROR(IF(AND(BK283&lt;&gt;"",BM283&lt;&gt;""),IF(BM283&lt;BK283,1,0),""),"")</f>
        <v/>
      </c>
      <c r="BP283" s="21" t="n"/>
      <c r="BS283" s="29">
        <f>IFERROR(IF(AND(BH283&lt;&gt;"",BK283&lt;&gt;""),(BH283-BK283)/BK283,""),"—")</f>
        <v/>
      </c>
      <c r="BT283" s="29">
        <f>IFERROR(IF(AND(BH283&lt;&gt;"",BP283&lt;&gt;""),(BH283-BP283)/BP283,""),"—")</f>
        <v/>
      </c>
      <c r="BU283" s="29">
        <f>IFERROR(IF(AND(BK283&lt;&gt;"",BP283&lt;&gt;""),(BP283-BK283)/BK283,""),"—")</f>
        <v/>
      </c>
    </row>
    <row r="284">
      <c r="AK284" s="14">
        <f>IFERROR(IF(AND(AG284&lt;&gt;"",AH284&lt;&gt;""),AG284*AH284,IF(AI284&lt;&gt;"",AI284,IF(AJ284&lt;&gt;"",AJ284*43560,""))),"ERROR")</f>
        <v/>
      </c>
      <c r="AL284" s="15">
        <f>IFERROR(IF(AK284&lt;&gt;"",AK284/43560,""),"—")</f>
        <v/>
      </c>
      <c r="AN284" s="14">
        <f>IFERROR(IF(AL284="","",IF(AL284&lt;2,"Residential (&lt;2ac)",IF(AL284&lt;10,"Small Rural (2-10ac)",IF(AL284&lt;40,"Rural (10-40ac)",IF(AL284&lt;100,"Farm/Estate (40-100ac)","Large Farm (100+ac)"))))),"—")</f>
        <v/>
      </c>
      <c r="AZ284" s="21" t="n"/>
      <c r="BF284" s="21" t="n"/>
      <c r="BG284" s="21" t="n"/>
      <c r="BH284" s="22">
        <f>IFERROR(IF(AND(BF284&lt;&gt;"",BG284&lt;&gt;""),AVERAGE(BF284,BG284),""),"—")</f>
        <v/>
      </c>
      <c r="BK284" s="21" t="n"/>
      <c r="BM284" s="21" t="n"/>
      <c r="BN284" s="28">
        <f>IFERROR(IF(AND(BK284&lt;&gt;"",BM284&lt;&gt;""),IF(BM284&lt;BK284,1,0),""),"")</f>
        <v/>
      </c>
      <c r="BP284" s="21" t="n"/>
      <c r="BS284" s="29">
        <f>IFERROR(IF(AND(BH284&lt;&gt;"",BK284&lt;&gt;""),(BH284-BK284)/BK284,""),"—")</f>
        <v/>
      </c>
      <c r="BT284" s="29">
        <f>IFERROR(IF(AND(BH284&lt;&gt;"",BP284&lt;&gt;""),(BH284-BP284)/BP284,""),"—")</f>
        <v/>
      </c>
      <c r="BU284" s="29">
        <f>IFERROR(IF(AND(BK284&lt;&gt;"",BP284&lt;&gt;""),(BP284-BK284)/BK284,""),"—")</f>
        <v/>
      </c>
    </row>
    <row r="285">
      <c r="AK285" s="14">
        <f>IFERROR(IF(AND(AG285&lt;&gt;"",AH285&lt;&gt;""),AG285*AH285,IF(AI285&lt;&gt;"",AI285,IF(AJ285&lt;&gt;"",AJ285*43560,""))),"ERROR")</f>
        <v/>
      </c>
      <c r="AL285" s="15">
        <f>IFERROR(IF(AK285&lt;&gt;"",AK285/43560,""),"—")</f>
        <v/>
      </c>
      <c r="AN285" s="14">
        <f>IFERROR(IF(AL285="","",IF(AL285&lt;2,"Residential (&lt;2ac)",IF(AL285&lt;10,"Small Rural (2-10ac)",IF(AL285&lt;40,"Rural (10-40ac)",IF(AL285&lt;100,"Farm/Estate (40-100ac)","Large Farm (100+ac)"))))),"—")</f>
        <v/>
      </c>
      <c r="AZ285" s="21" t="n"/>
      <c r="BF285" s="21" t="n"/>
      <c r="BG285" s="21" t="n"/>
      <c r="BH285" s="22">
        <f>IFERROR(IF(AND(BF285&lt;&gt;"",BG285&lt;&gt;""),AVERAGE(BF285,BG285),""),"—")</f>
        <v/>
      </c>
      <c r="BK285" s="21" t="n"/>
      <c r="BM285" s="21" t="n"/>
      <c r="BN285" s="28">
        <f>IFERROR(IF(AND(BK285&lt;&gt;"",BM285&lt;&gt;""),IF(BM285&lt;BK285,1,0),""),"")</f>
        <v/>
      </c>
      <c r="BP285" s="21" t="n"/>
      <c r="BS285" s="29">
        <f>IFERROR(IF(AND(BH285&lt;&gt;"",BK285&lt;&gt;""),(BH285-BK285)/BK285,""),"—")</f>
        <v/>
      </c>
      <c r="BT285" s="29">
        <f>IFERROR(IF(AND(BH285&lt;&gt;"",BP285&lt;&gt;""),(BH285-BP285)/BP285,""),"—")</f>
        <v/>
      </c>
      <c r="BU285" s="29">
        <f>IFERROR(IF(AND(BK285&lt;&gt;"",BP285&lt;&gt;""),(BP285-BK285)/BK285,""),"—")</f>
        <v/>
      </c>
    </row>
    <row r="286">
      <c r="AK286" s="14">
        <f>IFERROR(IF(AND(AG286&lt;&gt;"",AH286&lt;&gt;""),AG286*AH286,IF(AI286&lt;&gt;"",AI286,IF(AJ286&lt;&gt;"",AJ286*43560,""))),"ERROR")</f>
        <v/>
      </c>
      <c r="AL286" s="15">
        <f>IFERROR(IF(AK286&lt;&gt;"",AK286/43560,""),"—")</f>
        <v/>
      </c>
      <c r="AN286" s="14">
        <f>IFERROR(IF(AL286="","",IF(AL286&lt;2,"Residential (&lt;2ac)",IF(AL286&lt;10,"Small Rural (2-10ac)",IF(AL286&lt;40,"Rural (10-40ac)",IF(AL286&lt;100,"Farm/Estate (40-100ac)","Large Farm (100+ac)"))))),"—")</f>
        <v/>
      </c>
      <c r="AZ286" s="21" t="n"/>
      <c r="BF286" s="21" t="n"/>
      <c r="BG286" s="21" t="n"/>
      <c r="BH286" s="22">
        <f>IFERROR(IF(AND(BF286&lt;&gt;"",BG286&lt;&gt;""),AVERAGE(BF286,BG286),""),"—")</f>
        <v/>
      </c>
      <c r="BK286" s="21" t="n"/>
      <c r="BM286" s="21" t="n"/>
      <c r="BN286" s="28">
        <f>IFERROR(IF(AND(BK286&lt;&gt;"",BM286&lt;&gt;""),IF(BM286&lt;BK286,1,0),""),"")</f>
        <v/>
      </c>
      <c r="BP286" s="21" t="n"/>
      <c r="BS286" s="29">
        <f>IFERROR(IF(AND(BH286&lt;&gt;"",BK286&lt;&gt;""),(BH286-BK286)/BK286,""),"—")</f>
        <v/>
      </c>
      <c r="BT286" s="29">
        <f>IFERROR(IF(AND(BH286&lt;&gt;"",BP286&lt;&gt;""),(BH286-BP286)/BP286,""),"—")</f>
        <v/>
      </c>
      <c r="BU286" s="29">
        <f>IFERROR(IF(AND(BK286&lt;&gt;"",BP286&lt;&gt;""),(BP286-BK286)/BK286,""),"—")</f>
        <v/>
      </c>
    </row>
    <row r="287">
      <c r="AK287" s="14">
        <f>IFERROR(IF(AND(AG287&lt;&gt;"",AH287&lt;&gt;""),AG287*AH287,IF(AI287&lt;&gt;"",AI287,IF(AJ287&lt;&gt;"",AJ287*43560,""))),"ERROR")</f>
        <v/>
      </c>
      <c r="AL287" s="15">
        <f>IFERROR(IF(AK287&lt;&gt;"",AK287/43560,""),"—")</f>
        <v/>
      </c>
      <c r="AN287" s="14">
        <f>IFERROR(IF(AL287="","",IF(AL287&lt;2,"Residential (&lt;2ac)",IF(AL287&lt;10,"Small Rural (2-10ac)",IF(AL287&lt;40,"Rural (10-40ac)",IF(AL287&lt;100,"Farm/Estate (40-100ac)","Large Farm (100+ac)"))))),"—")</f>
        <v/>
      </c>
      <c r="AZ287" s="21" t="n"/>
      <c r="BF287" s="21" t="n"/>
      <c r="BG287" s="21" t="n"/>
      <c r="BH287" s="22">
        <f>IFERROR(IF(AND(BF287&lt;&gt;"",BG287&lt;&gt;""),AVERAGE(BF287,BG287),""),"—")</f>
        <v/>
      </c>
      <c r="BK287" s="21" t="n"/>
      <c r="BM287" s="21" t="n"/>
      <c r="BN287" s="28">
        <f>IFERROR(IF(AND(BK287&lt;&gt;"",BM287&lt;&gt;""),IF(BM287&lt;BK287,1,0),""),"")</f>
        <v/>
      </c>
      <c r="BP287" s="21" t="n"/>
      <c r="BS287" s="29">
        <f>IFERROR(IF(AND(BH287&lt;&gt;"",BK287&lt;&gt;""),(BH287-BK287)/BK287,""),"—")</f>
        <v/>
      </c>
      <c r="BT287" s="29">
        <f>IFERROR(IF(AND(BH287&lt;&gt;"",BP287&lt;&gt;""),(BH287-BP287)/BP287,""),"—")</f>
        <v/>
      </c>
      <c r="BU287" s="29">
        <f>IFERROR(IF(AND(BK287&lt;&gt;"",BP287&lt;&gt;""),(BP287-BK287)/BK287,""),"—")</f>
        <v/>
      </c>
    </row>
    <row r="288">
      <c r="AK288" s="14">
        <f>IFERROR(IF(AND(AG288&lt;&gt;"",AH288&lt;&gt;""),AG288*AH288,IF(AI288&lt;&gt;"",AI288,IF(AJ288&lt;&gt;"",AJ288*43560,""))),"ERROR")</f>
        <v/>
      </c>
      <c r="AL288" s="15">
        <f>IFERROR(IF(AK288&lt;&gt;"",AK288/43560,""),"—")</f>
        <v/>
      </c>
      <c r="AN288" s="14">
        <f>IFERROR(IF(AL288="","",IF(AL288&lt;2,"Residential (&lt;2ac)",IF(AL288&lt;10,"Small Rural (2-10ac)",IF(AL288&lt;40,"Rural (10-40ac)",IF(AL288&lt;100,"Farm/Estate (40-100ac)","Large Farm (100+ac)"))))),"—")</f>
        <v/>
      </c>
      <c r="AZ288" s="21" t="n"/>
      <c r="BF288" s="21" t="n"/>
      <c r="BG288" s="21" t="n"/>
      <c r="BH288" s="22">
        <f>IFERROR(IF(AND(BF288&lt;&gt;"",BG288&lt;&gt;""),AVERAGE(BF288,BG288),""),"—")</f>
        <v/>
      </c>
      <c r="BK288" s="21" t="n"/>
      <c r="BM288" s="21" t="n"/>
      <c r="BN288" s="28">
        <f>IFERROR(IF(AND(BK288&lt;&gt;"",BM288&lt;&gt;""),IF(BM288&lt;BK288,1,0),""),"")</f>
        <v/>
      </c>
      <c r="BP288" s="21" t="n"/>
      <c r="BS288" s="29">
        <f>IFERROR(IF(AND(BH288&lt;&gt;"",BK288&lt;&gt;""),(BH288-BK288)/BK288,""),"—")</f>
        <v/>
      </c>
      <c r="BT288" s="29">
        <f>IFERROR(IF(AND(BH288&lt;&gt;"",BP288&lt;&gt;""),(BH288-BP288)/BP288,""),"—")</f>
        <v/>
      </c>
      <c r="BU288" s="29">
        <f>IFERROR(IF(AND(BK288&lt;&gt;"",BP288&lt;&gt;""),(BP288-BK288)/BK288,""),"—")</f>
        <v/>
      </c>
    </row>
    <row r="289">
      <c r="AK289" s="14">
        <f>IFERROR(IF(AND(AG289&lt;&gt;"",AH289&lt;&gt;""),AG289*AH289,IF(AI289&lt;&gt;"",AI289,IF(AJ289&lt;&gt;"",AJ289*43560,""))),"ERROR")</f>
        <v/>
      </c>
      <c r="AL289" s="15">
        <f>IFERROR(IF(AK289&lt;&gt;"",AK289/43560,""),"—")</f>
        <v/>
      </c>
      <c r="AN289" s="14">
        <f>IFERROR(IF(AL289="","",IF(AL289&lt;2,"Residential (&lt;2ac)",IF(AL289&lt;10,"Small Rural (2-10ac)",IF(AL289&lt;40,"Rural (10-40ac)",IF(AL289&lt;100,"Farm/Estate (40-100ac)","Large Farm (100+ac)"))))),"—")</f>
        <v/>
      </c>
      <c r="AZ289" s="21" t="n"/>
      <c r="BF289" s="21" t="n"/>
      <c r="BG289" s="21" t="n"/>
      <c r="BH289" s="22">
        <f>IFERROR(IF(AND(BF289&lt;&gt;"",BG289&lt;&gt;""),AVERAGE(BF289,BG289),""),"—")</f>
        <v/>
      </c>
      <c r="BK289" s="21" t="n"/>
      <c r="BM289" s="21" t="n"/>
      <c r="BN289" s="28">
        <f>IFERROR(IF(AND(BK289&lt;&gt;"",BM289&lt;&gt;""),IF(BM289&lt;BK289,1,0),""),"")</f>
        <v/>
      </c>
      <c r="BP289" s="21" t="n"/>
      <c r="BS289" s="29">
        <f>IFERROR(IF(AND(BH289&lt;&gt;"",BK289&lt;&gt;""),(BH289-BK289)/BK289,""),"—")</f>
        <v/>
      </c>
      <c r="BT289" s="29">
        <f>IFERROR(IF(AND(BH289&lt;&gt;"",BP289&lt;&gt;""),(BH289-BP289)/BP289,""),"—")</f>
        <v/>
      </c>
      <c r="BU289" s="29">
        <f>IFERROR(IF(AND(BK289&lt;&gt;"",BP289&lt;&gt;""),(BP289-BK289)/BK289,""),"—")</f>
        <v/>
      </c>
    </row>
    <row r="290">
      <c r="AK290" s="14">
        <f>IFERROR(IF(AND(AG290&lt;&gt;"",AH290&lt;&gt;""),AG290*AH290,IF(AI290&lt;&gt;"",AI290,IF(AJ290&lt;&gt;"",AJ290*43560,""))),"ERROR")</f>
        <v/>
      </c>
      <c r="AL290" s="15">
        <f>IFERROR(IF(AK290&lt;&gt;"",AK290/43560,""),"—")</f>
        <v/>
      </c>
      <c r="AN290" s="14">
        <f>IFERROR(IF(AL290="","",IF(AL290&lt;2,"Residential (&lt;2ac)",IF(AL290&lt;10,"Small Rural (2-10ac)",IF(AL290&lt;40,"Rural (10-40ac)",IF(AL290&lt;100,"Farm/Estate (40-100ac)","Large Farm (100+ac)"))))),"—")</f>
        <v/>
      </c>
      <c r="AZ290" s="21" t="n"/>
      <c r="BF290" s="21" t="n"/>
      <c r="BG290" s="21" t="n"/>
      <c r="BH290" s="22">
        <f>IFERROR(IF(AND(BF290&lt;&gt;"",BG290&lt;&gt;""),AVERAGE(BF290,BG290),""),"—")</f>
        <v/>
      </c>
      <c r="BK290" s="21" t="n"/>
      <c r="BM290" s="21" t="n"/>
      <c r="BN290" s="28">
        <f>IFERROR(IF(AND(BK290&lt;&gt;"",BM290&lt;&gt;""),IF(BM290&lt;BK290,1,0),""),"")</f>
        <v/>
      </c>
      <c r="BP290" s="21" t="n"/>
      <c r="BS290" s="29">
        <f>IFERROR(IF(AND(BH290&lt;&gt;"",BK290&lt;&gt;""),(BH290-BK290)/BK290,""),"—")</f>
        <v/>
      </c>
      <c r="BT290" s="29">
        <f>IFERROR(IF(AND(BH290&lt;&gt;"",BP290&lt;&gt;""),(BH290-BP290)/BP290,""),"—")</f>
        <v/>
      </c>
      <c r="BU290" s="29">
        <f>IFERROR(IF(AND(BK290&lt;&gt;"",BP290&lt;&gt;""),(BP290-BK290)/BK290,""),"—")</f>
        <v/>
      </c>
    </row>
    <row r="291">
      <c r="AK291" s="14">
        <f>IFERROR(IF(AND(AG291&lt;&gt;"",AH291&lt;&gt;""),AG291*AH291,IF(AI291&lt;&gt;"",AI291,IF(AJ291&lt;&gt;"",AJ291*43560,""))),"ERROR")</f>
        <v/>
      </c>
      <c r="AL291" s="15">
        <f>IFERROR(IF(AK291&lt;&gt;"",AK291/43560,""),"—")</f>
        <v/>
      </c>
      <c r="AN291" s="14">
        <f>IFERROR(IF(AL291="","",IF(AL291&lt;2,"Residential (&lt;2ac)",IF(AL291&lt;10,"Small Rural (2-10ac)",IF(AL291&lt;40,"Rural (10-40ac)",IF(AL291&lt;100,"Farm/Estate (40-100ac)","Large Farm (100+ac)"))))),"—")</f>
        <v/>
      </c>
      <c r="AZ291" s="21" t="n"/>
      <c r="BF291" s="21" t="n"/>
      <c r="BG291" s="21" t="n"/>
      <c r="BH291" s="22">
        <f>IFERROR(IF(AND(BF291&lt;&gt;"",BG291&lt;&gt;""),AVERAGE(BF291,BG291),""),"—")</f>
        <v/>
      </c>
      <c r="BK291" s="21" t="n"/>
      <c r="BM291" s="21" t="n"/>
      <c r="BN291" s="28">
        <f>IFERROR(IF(AND(BK291&lt;&gt;"",BM291&lt;&gt;""),IF(BM291&lt;BK291,1,0),""),"")</f>
        <v/>
      </c>
      <c r="BP291" s="21" t="n"/>
      <c r="BS291" s="29">
        <f>IFERROR(IF(AND(BH291&lt;&gt;"",BK291&lt;&gt;""),(BH291-BK291)/BK291,""),"—")</f>
        <v/>
      </c>
      <c r="BT291" s="29">
        <f>IFERROR(IF(AND(BH291&lt;&gt;"",BP291&lt;&gt;""),(BH291-BP291)/BP291,""),"—")</f>
        <v/>
      </c>
      <c r="BU291" s="29">
        <f>IFERROR(IF(AND(BK291&lt;&gt;"",BP291&lt;&gt;""),(BP291-BK291)/BK291,""),"—")</f>
        <v/>
      </c>
    </row>
    <row r="292">
      <c r="AK292" s="14">
        <f>IFERROR(IF(AND(AG292&lt;&gt;"",AH292&lt;&gt;""),AG292*AH292,IF(AI292&lt;&gt;"",AI292,IF(AJ292&lt;&gt;"",AJ292*43560,""))),"ERROR")</f>
        <v/>
      </c>
      <c r="AL292" s="15">
        <f>IFERROR(IF(AK292&lt;&gt;"",AK292/43560,""),"—")</f>
        <v/>
      </c>
      <c r="AN292" s="14">
        <f>IFERROR(IF(AL292="","",IF(AL292&lt;2,"Residential (&lt;2ac)",IF(AL292&lt;10,"Small Rural (2-10ac)",IF(AL292&lt;40,"Rural (10-40ac)",IF(AL292&lt;100,"Farm/Estate (40-100ac)","Large Farm (100+ac)"))))),"—")</f>
        <v/>
      </c>
      <c r="AZ292" s="21" t="n"/>
      <c r="BF292" s="21" t="n"/>
      <c r="BG292" s="21" t="n"/>
      <c r="BH292" s="22">
        <f>IFERROR(IF(AND(BF292&lt;&gt;"",BG292&lt;&gt;""),AVERAGE(BF292,BG292),""),"—")</f>
        <v/>
      </c>
      <c r="BK292" s="21" t="n"/>
      <c r="BM292" s="21" t="n"/>
      <c r="BN292" s="28">
        <f>IFERROR(IF(AND(BK292&lt;&gt;"",BM292&lt;&gt;""),IF(BM292&lt;BK292,1,0),""),"")</f>
        <v/>
      </c>
      <c r="BP292" s="21" t="n"/>
      <c r="BS292" s="29">
        <f>IFERROR(IF(AND(BH292&lt;&gt;"",BK292&lt;&gt;""),(BH292-BK292)/BK292,""),"—")</f>
        <v/>
      </c>
      <c r="BT292" s="29">
        <f>IFERROR(IF(AND(BH292&lt;&gt;"",BP292&lt;&gt;""),(BH292-BP292)/BP292,""),"—")</f>
        <v/>
      </c>
      <c r="BU292" s="29">
        <f>IFERROR(IF(AND(BK292&lt;&gt;"",BP292&lt;&gt;""),(BP292-BK292)/BK292,""),"—")</f>
        <v/>
      </c>
    </row>
    <row r="293">
      <c r="AK293" s="14">
        <f>IFERROR(IF(AND(AG293&lt;&gt;"",AH293&lt;&gt;""),AG293*AH293,IF(AI293&lt;&gt;"",AI293,IF(AJ293&lt;&gt;"",AJ293*43560,""))),"ERROR")</f>
        <v/>
      </c>
      <c r="AL293" s="15">
        <f>IFERROR(IF(AK293&lt;&gt;"",AK293/43560,""),"—")</f>
        <v/>
      </c>
      <c r="AN293" s="14">
        <f>IFERROR(IF(AL293="","",IF(AL293&lt;2,"Residential (&lt;2ac)",IF(AL293&lt;10,"Small Rural (2-10ac)",IF(AL293&lt;40,"Rural (10-40ac)",IF(AL293&lt;100,"Farm/Estate (40-100ac)","Large Farm (100+ac)"))))),"—")</f>
        <v/>
      </c>
      <c r="AZ293" s="21" t="n"/>
      <c r="BF293" s="21" t="n"/>
      <c r="BG293" s="21" t="n"/>
      <c r="BH293" s="22">
        <f>IFERROR(IF(AND(BF293&lt;&gt;"",BG293&lt;&gt;""),AVERAGE(BF293,BG293),""),"—")</f>
        <v/>
      </c>
      <c r="BK293" s="21" t="n"/>
      <c r="BM293" s="21" t="n"/>
      <c r="BN293" s="28">
        <f>IFERROR(IF(AND(BK293&lt;&gt;"",BM293&lt;&gt;""),IF(BM293&lt;BK293,1,0),""),"")</f>
        <v/>
      </c>
      <c r="BP293" s="21" t="n"/>
      <c r="BS293" s="29">
        <f>IFERROR(IF(AND(BH293&lt;&gt;"",BK293&lt;&gt;""),(BH293-BK293)/BK293,""),"—")</f>
        <v/>
      </c>
      <c r="BT293" s="29">
        <f>IFERROR(IF(AND(BH293&lt;&gt;"",BP293&lt;&gt;""),(BH293-BP293)/BP293,""),"—")</f>
        <v/>
      </c>
      <c r="BU293" s="29">
        <f>IFERROR(IF(AND(BK293&lt;&gt;"",BP293&lt;&gt;""),(BP293-BK293)/BK293,""),"—")</f>
        <v/>
      </c>
    </row>
    <row r="294">
      <c r="AK294" s="14">
        <f>IFERROR(IF(AND(AG294&lt;&gt;"",AH294&lt;&gt;""),AG294*AH294,IF(AI294&lt;&gt;"",AI294,IF(AJ294&lt;&gt;"",AJ294*43560,""))),"ERROR")</f>
        <v/>
      </c>
      <c r="AL294" s="15">
        <f>IFERROR(IF(AK294&lt;&gt;"",AK294/43560,""),"—")</f>
        <v/>
      </c>
      <c r="AN294" s="14">
        <f>IFERROR(IF(AL294="","",IF(AL294&lt;2,"Residential (&lt;2ac)",IF(AL294&lt;10,"Small Rural (2-10ac)",IF(AL294&lt;40,"Rural (10-40ac)",IF(AL294&lt;100,"Farm/Estate (40-100ac)","Large Farm (100+ac)"))))),"—")</f>
        <v/>
      </c>
      <c r="AZ294" s="21" t="n"/>
      <c r="BF294" s="21" t="n"/>
      <c r="BG294" s="21" t="n"/>
      <c r="BH294" s="22">
        <f>IFERROR(IF(AND(BF294&lt;&gt;"",BG294&lt;&gt;""),AVERAGE(BF294,BG294),""),"—")</f>
        <v/>
      </c>
      <c r="BK294" s="21" t="n"/>
      <c r="BM294" s="21" t="n"/>
      <c r="BN294" s="28">
        <f>IFERROR(IF(AND(BK294&lt;&gt;"",BM294&lt;&gt;""),IF(BM294&lt;BK294,1,0),""),"")</f>
        <v/>
      </c>
      <c r="BP294" s="21" t="n"/>
      <c r="BS294" s="29">
        <f>IFERROR(IF(AND(BH294&lt;&gt;"",BK294&lt;&gt;""),(BH294-BK294)/BK294,""),"—")</f>
        <v/>
      </c>
      <c r="BT294" s="29">
        <f>IFERROR(IF(AND(BH294&lt;&gt;"",BP294&lt;&gt;""),(BH294-BP294)/BP294,""),"—")</f>
        <v/>
      </c>
      <c r="BU294" s="29">
        <f>IFERROR(IF(AND(BK294&lt;&gt;"",BP294&lt;&gt;""),(BP294-BK294)/BK294,""),"—")</f>
        <v/>
      </c>
    </row>
    <row r="295">
      <c r="AK295" s="14">
        <f>IFERROR(IF(AND(AG295&lt;&gt;"",AH295&lt;&gt;""),AG295*AH295,IF(AI295&lt;&gt;"",AI295,IF(AJ295&lt;&gt;"",AJ295*43560,""))),"ERROR")</f>
        <v/>
      </c>
      <c r="AL295" s="15">
        <f>IFERROR(IF(AK295&lt;&gt;"",AK295/43560,""),"—")</f>
        <v/>
      </c>
      <c r="AN295" s="14">
        <f>IFERROR(IF(AL295="","",IF(AL295&lt;2,"Residential (&lt;2ac)",IF(AL295&lt;10,"Small Rural (2-10ac)",IF(AL295&lt;40,"Rural (10-40ac)",IF(AL295&lt;100,"Farm/Estate (40-100ac)","Large Farm (100+ac)"))))),"—")</f>
        <v/>
      </c>
      <c r="AZ295" s="21" t="n"/>
      <c r="BF295" s="21" t="n"/>
      <c r="BG295" s="21" t="n"/>
      <c r="BH295" s="22">
        <f>IFERROR(IF(AND(BF295&lt;&gt;"",BG295&lt;&gt;""),AVERAGE(BF295,BG295),""),"—")</f>
        <v/>
      </c>
      <c r="BK295" s="21" t="n"/>
      <c r="BM295" s="21" t="n"/>
      <c r="BN295" s="28">
        <f>IFERROR(IF(AND(BK295&lt;&gt;"",BM295&lt;&gt;""),IF(BM295&lt;BK295,1,0),""),"")</f>
        <v/>
      </c>
      <c r="BP295" s="21" t="n"/>
      <c r="BS295" s="29">
        <f>IFERROR(IF(AND(BH295&lt;&gt;"",BK295&lt;&gt;""),(BH295-BK295)/BK295,""),"—")</f>
        <v/>
      </c>
      <c r="BT295" s="29">
        <f>IFERROR(IF(AND(BH295&lt;&gt;"",BP295&lt;&gt;""),(BH295-BP295)/BP295,""),"—")</f>
        <v/>
      </c>
      <c r="BU295" s="29">
        <f>IFERROR(IF(AND(BK295&lt;&gt;"",BP295&lt;&gt;""),(BP295-BK295)/BK295,""),"—")</f>
        <v/>
      </c>
    </row>
    <row r="296">
      <c r="AK296" s="14">
        <f>IFERROR(IF(AND(AG296&lt;&gt;"",AH296&lt;&gt;""),AG296*AH296,IF(AI296&lt;&gt;"",AI296,IF(AJ296&lt;&gt;"",AJ296*43560,""))),"ERROR")</f>
        <v/>
      </c>
      <c r="AL296" s="15">
        <f>IFERROR(IF(AK296&lt;&gt;"",AK296/43560,""),"—")</f>
        <v/>
      </c>
      <c r="AN296" s="14">
        <f>IFERROR(IF(AL296="","",IF(AL296&lt;2,"Residential (&lt;2ac)",IF(AL296&lt;10,"Small Rural (2-10ac)",IF(AL296&lt;40,"Rural (10-40ac)",IF(AL296&lt;100,"Farm/Estate (40-100ac)","Large Farm (100+ac)"))))),"—")</f>
        <v/>
      </c>
      <c r="AZ296" s="21" t="n"/>
      <c r="BF296" s="21" t="n"/>
      <c r="BG296" s="21" t="n"/>
      <c r="BH296" s="22">
        <f>IFERROR(IF(AND(BF296&lt;&gt;"",BG296&lt;&gt;""),AVERAGE(BF296,BG296),""),"—")</f>
        <v/>
      </c>
      <c r="BK296" s="21" t="n"/>
      <c r="BM296" s="21" t="n"/>
      <c r="BN296" s="28">
        <f>IFERROR(IF(AND(BK296&lt;&gt;"",BM296&lt;&gt;""),IF(BM296&lt;BK296,1,0),""),"")</f>
        <v/>
      </c>
      <c r="BP296" s="21" t="n"/>
      <c r="BS296" s="29">
        <f>IFERROR(IF(AND(BH296&lt;&gt;"",BK296&lt;&gt;""),(BH296-BK296)/BK296,""),"—")</f>
        <v/>
      </c>
      <c r="BT296" s="29">
        <f>IFERROR(IF(AND(BH296&lt;&gt;"",BP296&lt;&gt;""),(BH296-BP296)/BP296,""),"—")</f>
        <v/>
      </c>
      <c r="BU296" s="29">
        <f>IFERROR(IF(AND(BK296&lt;&gt;"",BP296&lt;&gt;""),(BP296-BK296)/BK296,""),"—")</f>
        <v/>
      </c>
    </row>
    <row r="297">
      <c r="AK297" s="14">
        <f>IFERROR(IF(AND(AG297&lt;&gt;"",AH297&lt;&gt;""),AG297*AH297,IF(AI297&lt;&gt;"",AI297,IF(AJ297&lt;&gt;"",AJ297*43560,""))),"ERROR")</f>
        <v/>
      </c>
      <c r="AL297" s="15">
        <f>IFERROR(IF(AK297&lt;&gt;"",AK297/43560,""),"—")</f>
        <v/>
      </c>
      <c r="AN297" s="14">
        <f>IFERROR(IF(AL297="","",IF(AL297&lt;2,"Residential (&lt;2ac)",IF(AL297&lt;10,"Small Rural (2-10ac)",IF(AL297&lt;40,"Rural (10-40ac)",IF(AL297&lt;100,"Farm/Estate (40-100ac)","Large Farm (100+ac)"))))),"—")</f>
        <v/>
      </c>
      <c r="AZ297" s="21" t="n"/>
      <c r="BF297" s="21" t="n"/>
      <c r="BG297" s="21" t="n"/>
      <c r="BH297" s="22">
        <f>IFERROR(IF(AND(BF297&lt;&gt;"",BG297&lt;&gt;""),AVERAGE(BF297,BG297),""),"—")</f>
        <v/>
      </c>
      <c r="BK297" s="21" t="n"/>
      <c r="BM297" s="21" t="n"/>
      <c r="BN297" s="28">
        <f>IFERROR(IF(AND(BK297&lt;&gt;"",BM297&lt;&gt;""),IF(BM297&lt;BK297,1,0),""),"")</f>
        <v/>
      </c>
      <c r="BP297" s="21" t="n"/>
      <c r="BS297" s="29">
        <f>IFERROR(IF(AND(BH297&lt;&gt;"",BK297&lt;&gt;""),(BH297-BK297)/BK297,""),"—")</f>
        <v/>
      </c>
      <c r="BT297" s="29">
        <f>IFERROR(IF(AND(BH297&lt;&gt;"",BP297&lt;&gt;""),(BH297-BP297)/BP297,""),"—")</f>
        <v/>
      </c>
      <c r="BU297" s="29">
        <f>IFERROR(IF(AND(BK297&lt;&gt;"",BP297&lt;&gt;""),(BP297-BK297)/BK297,""),"—")</f>
        <v/>
      </c>
    </row>
    <row r="298">
      <c r="AK298" s="14">
        <f>IFERROR(IF(AND(AG298&lt;&gt;"",AH298&lt;&gt;""),AG298*AH298,IF(AI298&lt;&gt;"",AI298,IF(AJ298&lt;&gt;"",AJ298*43560,""))),"ERROR")</f>
        <v/>
      </c>
      <c r="AL298" s="15">
        <f>IFERROR(IF(AK298&lt;&gt;"",AK298/43560,""),"—")</f>
        <v/>
      </c>
      <c r="AN298" s="14">
        <f>IFERROR(IF(AL298="","",IF(AL298&lt;2,"Residential (&lt;2ac)",IF(AL298&lt;10,"Small Rural (2-10ac)",IF(AL298&lt;40,"Rural (10-40ac)",IF(AL298&lt;100,"Farm/Estate (40-100ac)","Large Farm (100+ac)"))))),"—")</f>
        <v/>
      </c>
      <c r="AZ298" s="21" t="n"/>
      <c r="BF298" s="21" t="n"/>
      <c r="BG298" s="21" t="n"/>
      <c r="BH298" s="22">
        <f>IFERROR(IF(AND(BF298&lt;&gt;"",BG298&lt;&gt;""),AVERAGE(BF298,BG298),""),"—")</f>
        <v/>
      </c>
      <c r="BK298" s="21" t="n"/>
      <c r="BM298" s="21" t="n"/>
      <c r="BN298" s="28">
        <f>IFERROR(IF(AND(BK298&lt;&gt;"",BM298&lt;&gt;""),IF(BM298&lt;BK298,1,0),""),"")</f>
        <v/>
      </c>
      <c r="BP298" s="21" t="n"/>
      <c r="BS298" s="29">
        <f>IFERROR(IF(AND(BH298&lt;&gt;"",BK298&lt;&gt;""),(BH298-BK298)/BK298,""),"—")</f>
        <v/>
      </c>
      <c r="BT298" s="29">
        <f>IFERROR(IF(AND(BH298&lt;&gt;"",BP298&lt;&gt;""),(BH298-BP298)/BP298,""),"—")</f>
        <v/>
      </c>
      <c r="BU298" s="29">
        <f>IFERROR(IF(AND(BK298&lt;&gt;"",BP298&lt;&gt;""),(BP298-BK298)/BK298,""),"—")</f>
        <v/>
      </c>
    </row>
    <row r="299">
      <c r="AK299" s="14">
        <f>IFERROR(IF(AND(AG299&lt;&gt;"",AH299&lt;&gt;""),AG299*AH299,IF(AI299&lt;&gt;"",AI299,IF(AJ299&lt;&gt;"",AJ299*43560,""))),"ERROR")</f>
        <v/>
      </c>
      <c r="AL299" s="15">
        <f>IFERROR(IF(AK299&lt;&gt;"",AK299/43560,""),"—")</f>
        <v/>
      </c>
      <c r="AN299" s="14">
        <f>IFERROR(IF(AL299="","",IF(AL299&lt;2,"Residential (&lt;2ac)",IF(AL299&lt;10,"Small Rural (2-10ac)",IF(AL299&lt;40,"Rural (10-40ac)",IF(AL299&lt;100,"Farm/Estate (40-100ac)","Large Farm (100+ac)"))))),"—")</f>
        <v/>
      </c>
      <c r="AZ299" s="21" t="n"/>
      <c r="BF299" s="21" t="n"/>
      <c r="BG299" s="21" t="n"/>
      <c r="BH299" s="22">
        <f>IFERROR(IF(AND(BF299&lt;&gt;"",BG299&lt;&gt;""),AVERAGE(BF299,BG299),""),"—")</f>
        <v/>
      </c>
      <c r="BK299" s="21" t="n"/>
      <c r="BM299" s="21" t="n"/>
      <c r="BN299" s="28">
        <f>IFERROR(IF(AND(BK299&lt;&gt;"",BM299&lt;&gt;""),IF(BM299&lt;BK299,1,0),""),"")</f>
        <v/>
      </c>
      <c r="BP299" s="21" t="n"/>
      <c r="BS299" s="29">
        <f>IFERROR(IF(AND(BH299&lt;&gt;"",BK299&lt;&gt;""),(BH299-BK299)/BK299,""),"—")</f>
        <v/>
      </c>
      <c r="BT299" s="29">
        <f>IFERROR(IF(AND(BH299&lt;&gt;"",BP299&lt;&gt;""),(BH299-BP299)/BP299,""),"—")</f>
        <v/>
      </c>
      <c r="BU299" s="29">
        <f>IFERROR(IF(AND(BK299&lt;&gt;"",BP299&lt;&gt;""),(BP299-BK299)/BK299,""),"—")</f>
        <v/>
      </c>
    </row>
    <row r="300">
      <c r="AK300" s="14">
        <f>IFERROR(IF(AND(AG300&lt;&gt;"",AH300&lt;&gt;""),AG300*AH300,IF(AI300&lt;&gt;"",AI300,IF(AJ300&lt;&gt;"",AJ300*43560,""))),"ERROR")</f>
        <v/>
      </c>
      <c r="AL300" s="15">
        <f>IFERROR(IF(AK300&lt;&gt;"",AK300/43560,""),"—")</f>
        <v/>
      </c>
      <c r="AN300" s="14">
        <f>IFERROR(IF(AL300="","",IF(AL300&lt;2,"Residential (&lt;2ac)",IF(AL300&lt;10,"Small Rural (2-10ac)",IF(AL300&lt;40,"Rural (10-40ac)",IF(AL300&lt;100,"Farm/Estate (40-100ac)","Large Farm (100+ac)"))))),"—")</f>
        <v/>
      </c>
      <c r="AZ300" s="21" t="n"/>
      <c r="BF300" s="21" t="n"/>
      <c r="BG300" s="21" t="n"/>
      <c r="BH300" s="22">
        <f>IFERROR(IF(AND(BF300&lt;&gt;"",BG300&lt;&gt;""),AVERAGE(BF300,BG300),""),"—")</f>
        <v/>
      </c>
      <c r="BK300" s="21" t="n"/>
      <c r="BM300" s="21" t="n"/>
      <c r="BN300" s="28">
        <f>IFERROR(IF(AND(BK300&lt;&gt;"",BM300&lt;&gt;""),IF(BM300&lt;BK300,1,0),""),"")</f>
        <v/>
      </c>
      <c r="BP300" s="21" t="n"/>
      <c r="BS300" s="29">
        <f>IFERROR(IF(AND(BH300&lt;&gt;"",BK300&lt;&gt;""),(BH300-BK300)/BK300,""),"—")</f>
        <v/>
      </c>
      <c r="BT300" s="29">
        <f>IFERROR(IF(AND(BH300&lt;&gt;"",BP300&lt;&gt;""),(BH300-BP300)/BP300,""),"—")</f>
        <v/>
      </c>
      <c r="BU300" s="29">
        <f>IFERROR(IF(AND(BK300&lt;&gt;"",BP300&lt;&gt;""),(BP300-BK300)/BK300,""),"—")</f>
        <v/>
      </c>
    </row>
    <row r="301">
      <c r="AK301" s="14">
        <f>IFERROR(IF(AND(AG301&lt;&gt;"",AH301&lt;&gt;""),AG301*AH301,IF(AI301&lt;&gt;"",AI301,IF(AJ301&lt;&gt;"",AJ301*43560,""))),"ERROR")</f>
        <v/>
      </c>
      <c r="AL301" s="15">
        <f>IFERROR(IF(AK301&lt;&gt;"",AK301/43560,""),"—")</f>
        <v/>
      </c>
      <c r="AN301" s="14">
        <f>IFERROR(IF(AL301="","",IF(AL301&lt;2,"Residential (&lt;2ac)",IF(AL301&lt;10,"Small Rural (2-10ac)",IF(AL301&lt;40,"Rural (10-40ac)",IF(AL301&lt;100,"Farm/Estate (40-100ac)","Large Farm (100+ac)"))))),"—")</f>
        <v/>
      </c>
      <c r="AZ301" s="21" t="n"/>
      <c r="BF301" s="21" t="n"/>
      <c r="BG301" s="21" t="n"/>
      <c r="BH301" s="22">
        <f>IFERROR(IF(AND(BF301&lt;&gt;"",BG301&lt;&gt;""),AVERAGE(BF301,BG301),""),"—")</f>
        <v/>
      </c>
      <c r="BK301" s="21" t="n"/>
      <c r="BM301" s="21" t="n"/>
      <c r="BN301" s="28">
        <f>IFERROR(IF(AND(BK301&lt;&gt;"",BM301&lt;&gt;""),IF(BM301&lt;BK301,1,0),""),"")</f>
        <v/>
      </c>
      <c r="BP301" s="21" t="n"/>
      <c r="BS301" s="29">
        <f>IFERROR(IF(AND(BH301&lt;&gt;"",BK301&lt;&gt;""),(BH301-BK301)/BK301,""),"—")</f>
        <v/>
      </c>
      <c r="BT301" s="29">
        <f>IFERROR(IF(AND(BH301&lt;&gt;"",BP301&lt;&gt;""),(BH301-BP301)/BP301,""),"—")</f>
        <v/>
      </c>
      <c r="BU301" s="29">
        <f>IFERROR(IF(AND(BK301&lt;&gt;"",BP301&lt;&gt;""),(BP301-BK301)/BK301,""),"—")</f>
        <v/>
      </c>
    </row>
    <row r="302">
      <c r="AK302" s="14">
        <f>IFERROR(IF(AND(AG302&lt;&gt;"",AH302&lt;&gt;""),AG302*AH302,IF(AI302&lt;&gt;"",AI302,IF(AJ302&lt;&gt;"",AJ302*43560,""))),"ERROR")</f>
        <v/>
      </c>
      <c r="AL302" s="15">
        <f>IFERROR(IF(AK302&lt;&gt;"",AK302/43560,""),"—")</f>
        <v/>
      </c>
      <c r="AN302" s="14">
        <f>IFERROR(IF(AL302="","",IF(AL302&lt;2,"Residential (&lt;2ac)",IF(AL302&lt;10,"Small Rural (2-10ac)",IF(AL302&lt;40,"Rural (10-40ac)",IF(AL302&lt;100,"Farm/Estate (40-100ac)","Large Farm (100+ac)"))))),"—")</f>
        <v/>
      </c>
      <c r="AZ302" s="21" t="n"/>
      <c r="BF302" s="21" t="n"/>
      <c r="BG302" s="21" t="n"/>
      <c r="BH302" s="22">
        <f>IFERROR(IF(AND(BF302&lt;&gt;"",BG302&lt;&gt;""),AVERAGE(BF302,BG302),""),"—")</f>
        <v/>
      </c>
      <c r="BK302" s="21" t="n"/>
      <c r="BM302" s="21" t="n"/>
      <c r="BN302" s="28">
        <f>IFERROR(IF(AND(BK302&lt;&gt;"",BM302&lt;&gt;""),IF(BM302&lt;BK302,1,0),""),"")</f>
        <v/>
      </c>
      <c r="BP302" s="21" t="n"/>
      <c r="BS302" s="29">
        <f>IFERROR(IF(AND(BH302&lt;&gt;"",BK302&lt;&gt;""),(BH302-BK302)/BK302,""),"—")</f>
        <v/>
      </c>
      <c r="BT302" s="29">
        <f>IFERROR(IF(AND(BH302&lt;&gt;"",BP302&lt;&gt;""),(BH302-BP302)/BP302,""),"—")</f>
        <v/>
      </c>
      <c r="BU302" s="29">
        <f>IFERROR(IF(AND(BK302&lt;&gt;"",BP302&lt;&gt;""),(BP302-BK302)/BK302,""),"—")</f>
        <v/>
      </c>
    </row>
    <row r="303">
      <c r="AK303" s="14">
        <f>IFERROR(IF(AND(AG303&lt;&gt;"",AH303&lt;&gt;""),AG303*AH303,IF(AI303&lt;&gt;"",AI303,IF(AJ303&lt;&gt;"",AJ303*43560,""))),"ERROR")</f>
        <v/>
      </c>
      <c r="AL303" s="15">
        <f>IFERROR(IF(AK303&lt;&gt;"",AK303/43560,""),"—")</f>
        <v/>
      </c>
      <c r="AN303" s="14">
        <f>IFERROR(IF(AL303="","",IF(AL303&lt;2,"Residential (&lt;2ac)",IF(AL303&lt;10,"Small Rural (2-10ac)",IF(AL303&lt;40,"Rural (10-40ac)",IF(AL303&lt;100,"Farm/Estate (40-100ac)","Large Farm (100+ac)"))))),"—")</f>
        <v/>
      </c>
      <c r="AZ303" s="21" t="n"/>
      <c r="BF303" s="21" t="n"/>
      <c r="BG303" s="21" t="n"/>
      <c r="BH303" s="22">
        <f>IFERROR(IF(AND(BF303&lt;&gt;"",BG303&lt;&gt;""),AVERAGE(BF303,BG303),""),"—")</f>
        <v/>
      </c>
      <c r="BK303" s="21" t="n"/>
      <c r="BM303" s="21" t="n"/>
      <c r="BN303" s="28">
        <f>IFERROR(IF(AND(BK303&lt;&gt;"",BM303&lt;&gt;""),IF(BM303&lt;BK303,1,0),""),"")</f>
        <v/>
      </c>
      <c r="BP303" s="21" t="n"/>
      <c r="BS303" s="29">
        <f>IFERROR(IF(AND(BH303&lt;&gt;"",BK303&lt;&gt;""),(BH303-BK303)/BK303,""),"—")</f>
        <v/>
      </c>
      <c r="BT303" s="29">
        <f>IFERROR(IF(AND(BH303&lt;&gt;"",BP303&lt;&gt;""),(BH303-BP303)/BP303,""),"—")</f>
        <v/>
      </c>
      <c r="BU303" s="29">
        <f>IFERROR(IF(AND(BK303&lt;&gt;"",BP303&lt;&gt;""),(BP303-BK303)/BK303,""),"—")</f>
        <v/>
      </c>
    </row>
    <row r="304">
      <c r="AK304" s="14">
        <f>IFERROR(IF(AND(AG304&lt;&gt;"",AH304&lt;&gt;""),AG304*AH304,IF(AI304&lt;&gt;"",AI304,IF(AJ304&lt;&gt;"",AJ304*43560,""))),"ERROR")</f>
        <v/>
      </c>
      <c r="AL304" s="15">
        <f>IFERROR(IF(AK304&lt;&gt;"",AK304/43560,""),"—")</f>
        <v/>
      </c>
      <c r="AN304" s="14">
        <f>IFERROR(IF(AL304="","",IF(AL304&lt;2,"Residential (&lt;2ac)",IF(AL304&lt;10,"Small Rural (2-10ac)",IF(AL304&lt;40,"Rural (10-40ac)",IF(AL304&lt;100,"Farm/Estate (40-100ac)","Large Farm (100+ac)"))))),"—")</f>
        <v/>
      </c>
      <c r="AZ304" s="21" t="n"/>
      <c r="BF304" s="21" t="n"/>
      <c r="BG304" s="21" t="n"/>
      <c r="BH304" s="22">
        <f>IFERROR(IF(AND(BF304&lt;&gt;"",BG304&lt;&gt;""),AVERAGE(BF304,BG304),""),"—")</f>
        <v/>
      </c>
      <c r="BK304" s="21" t="n"/>
      <c r="BM304" s="21" t="n"/>
      <c r="BN304" s="28">
        <f>IFERROR(IF(AND(BK304&lt;&gt;"",BM304&lt;&gt;""),IF(BM304&lt;BK304,1,0),""),"")</f>
        <v/>
      </c>
      <c r="BP304" s="21" t="n"/>
      <c r="BS304" s="29">
        <f>IFERROR(IF(AND(BH304&lt;&gt;"",BK304&lt;&gt;""),(BH304-BK304)/BK304,""),"—")</f>
        <v/>
      </c>
      <c r="BT304" s="29">
        <f>IFERROR(IF(AND(BH304&lt;&gt;"",BP304&lt;&gt;""),(BH304-BP304)/BP304,""),"—")</f>
        <v/>
      </c>
      <c r="BU304" s="29">
        <f>IFERROR(IF(AND(BK304&lt;&gt;"",BP304&lt;&gt;""),(BP304-BK304)/BK304,""),"—")</f>
        <v/>
      </c>
    </row>
    <row r="305">
      <c r="AK305" s="14">
        <f>IFERROR(IF(AND(AG305&lt;&gt;"",AH305&lt;&gt;""),AG305*AH305,IF(AI305&lt;&gt;"",AI305,IF(AJ305&lt;&gt;"",AJ305*43560,""))),"ERROR")</f>
        <v/>
      </c>
      <c r="AL305" s="15">
        <f>IFERROR(IF(AK305&lt;&gt;"",AK305/43560,""),"—")</f>
        <v/>
      </c>
      <c r="AN305" s="14">
        <f>IFERROR(IF(AL305="","",IF(AL305&lt;2,"Residential (&lt;2ac)",IF(AL305&lt;10,"Small Rural (2-10ac)",IF(AL305&lt;40,"Rural (10-40ac)",IF(AL305&lt;100,"Farm/Estate (40-100ac)","Large Farm (100+ac)"))))),"—")</f>
        <v/>
      </c>
      <c r="AZ305" s="21" t="n"/>
      <c r="BF305" s="21" t="n"/>
      <c r="BG305" s="21" t="n"/>
      <c r="BH305" s="22">
        <f>IFERROR(IF(AND(BF305&lt;&gt;"",BG305&lt;&gt;""),AVERAGE(BF305,BG305),""),"—")</f>
        <v/>
      </c>
      <c r="BK305" s="21" t="n"/>
      <c r="BM305" s="21" t="n"/>
      <c r="BN305" s="28">
        <f>IFERROR(IF(AND(BK305&lt;&gt;"",BM305&lt;&gt;""),IF(BM305&lt;BK305,1,0),""),"")</f>
        <v/>
      </c>
      <c r="BP305" s="21" t="n"/>
      <c r="BS305" s="29">
        <f>IFERROR(IF(AND(BH305&lt;&gt;"",BK305&lt;&gt;""),(BH305-BK305)/BK305,""),"—")</f>
        <v/>
      </c>
      <c r="BT305" s="29">
        <f>IFERROR(IF(AND(BH305&lt;&gt;"",BP305&lt;&gt;""),(BH305-BP305)/BP305,""),"—")</f>
        <v/>
      </c>
      <c r="BU305" s="29">
        <f>IFERROR(IF(AND(BK305&lt;&gt;"",BP305&lt;&gt;""),(BP305-BK305)/BK305,""),"—")</f>
        <v/>
      </c>
    </row>
    <row r="306">
      <c r="AK306" s="14">
        <f>IFERROR(IF(AND(AG306&lt;&gt;"",AH306&lt;&gt;""),AG306*AH306,IF(AI306&lt;&gt;"",AI306,IF(AJ306&lt;&gt;"",AJ306*43560,""))),"ERROR")</f>
        <v/>
      </c>
      <c r="AL306" s="15">
        <f>IFERROR(IF(AK306&lt;&gt;"",AK306/43560,""),"—")</f>
        <v/>
      </c>
      <c r="AN306" s="14">
        <f>IFERROR(IF(AL306="","",IF(AL306&lt;2,"Residential (&lt;2ac)",IF(AL306&lt;10,"Small Rural (2-10ac)",IF(AL306&lt;40,"Rural (10-40ac)",IF(AL306&lt;100,"Farm/Estate (40-100ac)","Large Farm (100+ac)"))))),"—")</f>
        <v/>
      </c>
      <c r="AZ306" s="21" t="n"/>
      <c r="BF306" s="21" t="n"/>
      <c r="BG306" s="21" t="n"/>
      <c r="BH306" s="22">
        <f>IFERROR(IF(AND(BF306&lt;&gt;"",BG306&lt;&gt;""),AVERAGE(BF306,BG306),""),"—")</f>
        <v/>
      </c>
      <c r="BK306" s="21" t="n"/>
      <c r="BM306" s="21" t="n"/>
      <c r="BN306" s="28">
        <f>IFERROR(IF(AND(BK306&lt;&gt;"",BM306&lt;&gt;""),IF(BM306&lt;BK306,1,0),""),"")</f>
        <v/>
      </c>
      <c r="BP306" s="21" t="n"/>
      <c r="BS306" s="29">
        <f>IFERROR(IF(AND(BH306&lt;&gt;"",BK306&lt;&gt;""),(BH306-BK306)/BK306,""),"—")</f>
        <v/>
      </c>
      <c r="BT306" s="29">
        <f>IFERROR(IF(AND(BH306&lt;&gt;"",BP306&lt;&gt;""),(BH306-BP306)/BP306,""),"—")</f>
        <v/>
      </c>
      <c r="BU306" s="29">
        <f>IFERROR(IF(AND(BK306&lt;&gt;"",BP306&lt;&gt;""),(BP306-BK306)/BK306,""),"—")</f>
        <v/>
      </c>
    </row>
    <row r="307">
      <c r="AK307" s="14">
        <f>IFERROR(IF(AND(AG307&lt;&gt;"",AH307&lt;&gt;""),AG307*AH307,IF(AI307&lt;&gt;"",AI307,IF(AJ307&lt;&gt;"",AJ307*43560,""))),"ERROR")</f>
        <v/>
      </c>
      <c r="AL307" s="15">
        <f>IFERROR(IF(AK307&lt;&gt;"",AK307/43560,""),"—")</f>
        <v/>
      </c>
      <c r="AN307" s="14">
        <f>IFERROR(IF(AL307="","",IF(AL307&lt;2,"Residential (&lt;2ac)",IF(AL307&lt;10,"Small Rural (2-10ac)",IF(AL307&lt;40,"Rural (10-40ac)",IF(AL307&lt;100,"Farm/Estate (40-100ac)","Large Farm (100+ac)"))))),"—")</f>
        <v/>
      </c>
      <c r="AZ307" s="21" t="n"/>
      <c r="BF307" s="21" t="n"/>
      <c r="BG307" s="21" t="n"/>
      <c r="BH307" s="22">
        <f>IFERROR(IF(AND(BF307&lt;&gt;"",BG307&lt;&gt;""),AVERAGE(BF307,BG307),""),"—")</f>
        <v/>
      </c>
      <c r="BK307" s="21" t="n"/>
      <c r="BM307" s="21" t="n"/>
      <c r="BN307" s="28">
        <f>IFERROR(IF(AND(BK307&lt;&gt;"",BM307&lt;&gt;""),IF(BM307&lt;BK307,1,0),""),"")</f>
        <v/>
      </c>
      <c r="BP307" s="21" t="n"/>
      <c r="BS307" s="29">
        <f>IFERROR(IF(AND(BH307&lt;&gt;"",BK307&lt;&gt;""),(BH307-BK307)/BK307,""),"—")</f>
        <v/>
      </c>
      <c r="BT307" s="29">
        <f>IFERROR(IF(AND(BH307&lt;&gt;"",BP307&lt;&gt;""),(BH307-BP307)/BP307,""),"—")</f>
        <v/>
      </c>
      <c r="BU307" s="29">
        <f>IFERROR(IF(AND(BK307&lt;&gt;"",BP307&lt;&gt;""),(BP307-BK307)/BK307,""),"—")</f>
        <v/>
      </c>
    </row>
    <row r="308">
      <c r="AK308" s="14">
        <f>IFERROR(IF(AND(AG308&lt;&gt;"",AH308&lt;&gt;""),AG308*AH308,IF(AI308&lt;&gt;"",AI308,IF(AJ308&lt;&gt;"",AJ308*43560,""))),"ERROR")</f>
        <v/>
      </c>
      <c r="AL308" s="15">
        <f>IFERROR(IF(AK308&lt;&gt;"",AK308/43560,""),"—")</f>
        <v/>
      </c>
      <c r="AN308" s="14">
        <f>IFERROR(IF(AL308="","",IF(AL308&lt;2,"Residential (&lt;2ac)",IF(AL308&lt;10,"Small Rural (2-10ac)",IF(AL308&lt;40,"Rural (10-40ac)",IF(AL308&lt;100,"Farm/Estate (40-100ac)","Large Farm (100+ac)"))))),"—")</f>
        <v/>
      </c>
      <c r="AZ308" s="21" t="n"/>
      <c r="BF308" s="21" t="n"/>
      <c r="BG308" s="21" t="n"/>
      <c r="BH308" s="22">
        <f>IFERROR(IF(AND(BF308&lt;&gt;"",BG308&lt;&gt;""),AVERAGE(BF308,BG308),""),"—")</f>
        <v/>
      </c>
      <c r="BK308" s="21" t="n"/>
      <c r="BM308" s="21" t="n"/>
      <c r="BN308" s="28">
        <f>IFERROR(IF(AND(BK308&lt;&gt;"",BM308&lt;&gt;""),IF(BM308&lt;BK308,1,0),""),"")</f>
        <v/>
      </c>
      <c r="BP308" s="21" t="n"/>
      <c r="BS308" s="29">
        <f>IFERROR(IF(AND(BH308&lt;&gt;"",BK308&lt;&gt;""),(BH308-BK308)/BK308,""),"—")</f>
        <v/>
      </c>
      <c r="BT308" s="29">
        <f>IFERROR(IF(AND(BH308&lt;&gt;"",BP308&lt;&gt;""),(BH308-BP308)/BP308,""),"—")</f>
        <v/>
      </c>
      <c r="BU308" s="29">
        <f>IFERROR(IF(AND(BK308&lt;&gt;"",BP308&lt;&gt;""),(BP308-BK308)/BK308,""),"—")</f>
        <v/>
      </c>
    </row>
    <row r="309">
      <c r="AK309" s="14">
        <f>IFERROR(IF(AND(AG309&lt;&gt;"",AH309&lt;&gt;""),AG309*AH309,IF(AI309&lt;&gt;"",AI309,IF(AJ309&lt;&gt;"",AJ309*43560,""))),"ERROR")</f>
        <v/>
      </c>
      <c r="AL309" s="15">
        <f>IFERROR(IF(AK309&lt;&gt;"",AK309/43560,""),"—")</f>
        <v/>
      </c>
      <c r="AN309" s="14">
        <f>IFERROR(IF(AL309="","",IF(AL309&lt;2,"Residential (&lt;2ac)",IF(AL309&lt;10,"Small Rural (2-10ac)",IF(AL309&lt;40,"Rural (10-40ac)",IF(AL309&lt;100,"Farm/Estate (40-100ac)","Large Farm (100+ac)"))))),"—")</f>
        <v/>
      </c>
      <c r="AZ309" s="21" t="n"/>
      <c r="BF309" s="21" t="n"/>
      <c r="BG309" s="21" t="n"/>
      <c r="BH309" s="22">
        <f>IFERROR(IF(AND(BF309&lt;&gt;"",BG309&lt;&gt;""),AVERAGE(BF309,BG309),""),"—")</f>
        <v/>
      </c>
      <c r="BK309" s="21" t="n"/>
      <c r="BM309" s="21" t="n"/>
      <c r="BN309" s="28">
        <f>IFERROR(IF(AND(BK309&lt;&gt;"",BM309&lt;&gt;""),IF(BM309&lt;BK309,1,0),""),"")</f>
        <v/>
      </c>
      <c r="BP309" s="21" t="n"/>
      <c r="BS309" s="29">
        <f>IFERROR(IF(AND(BH309&lt;&gt;"",BK309&lt;&gt;""),(BH309-BK309)/BK309,""),"—")</f>
        <v/>
      </c>
      <c r="BT309" s="29">
        <f>IFERROR(IF(AND(BH309&lt;&gt;"",BP309&lt;&gt;""),(BH309-BP309)/BP309,""),"—")</f>
        <v/>
      </c>
      <c r="BU309" s="29">
        <f>IFERROR(IF(AND(BK309&lt;&gt;"",BP309&lt;&gt;""),(BP309-BK309)/BK309,""),"—")</f>
        <v/>
      </c>
    </row>
    <row r="310">
      <c r="AK310" s="14">
        <f>IFERROR(IF(AND(AG310&lt;&gt;"",AH310&lt;&gt;""),AG310*AH310,IF(AI310&lt;&gt;"",AI310,IF(AJ310&lt;&gt;"",AJ310*43560,""))),"ERROR")</f>
        <v/>
      </c>
      <c r="AL310" s="15">
        <f>IFERROR(IF(AK310&lt;&gt;"",AK310/43560,""),"—")</f>
        <v/>
      </c>
      <c r="AN310" s="14">
        <f>IFERROR(IF(AL310="","",IF(AL310&lt;2,"Residential (&lt;2ac)",IF(AL310&lt;10,"Small Rural (2-10ac)",IF(AL310&lt;40,"Rural (10-40ac)",IF(AL310&lt;100,"Farm/Estate (40-100ac)","Large Farm (100+ac)"))))),"—")</f>
        <v/>
      </c>
      <c r="AZ310" s="21" t="n"/>
      <c r="BF310" s="21" t="n"/>
      <c r="BG310" s="21" t="n"/>
      <c r="BH310" s="22">
        <f>IFERROR(IF(AND(BF310&lt;&gt;"",BG310&lt;&gt;""),AVERAGE(BF310,BG310),""),"—")</f>
        <v/>
      </c>
      <c r="BK310" s="21" t="n"/>
      <c r="BM310" s="21" t="n"/>
      <c r="BN310" s="28">
        <f>IFERROR(IF(AND(BK310&lt;&gt;"",BM310&lt;&gt;""),IF(BM310&lt;BK310,1,0),""),"")</f>
        <v/>
      </c>
      <c r="BP310" s="21" t="n"/>
      <c r="BS310" s="29">
        <f>IFERROR(IF(AND(BH310&lt;&gt;"",BK310&lt;&gt;""),(BH310-BK310)/BK310,""),"—")</f>
        <v/>
      </c>
      <c r="BT310" s="29">
        <f>IFERROR(IF(AND(BH310&lt;&gt;"",BP310&lt;&gt;""),(BH310-BP310)/BP310,""),"—")</f>
        <v/>
      </c>
      <c r="BU310" s="29">
        <f>IFERROR(IF(AND(BK310&lt;&gt;"",BP310&lt;&gt;""),(BP310-BK310)/BK310,""),"—")</f>
        <v/>
      </c>
    </row>
    <row r="311">
      <c r="AK311" s="14">
        <f>IFERROR(IF(AND(AG311&lt;&gt;"",AH311&lt;&gt;""),AG311*AH311,IF(AI311&lt;&gt;"",AI311,IF(AJ311&lt;&gt;"",AJ311*43560,""))),"ERROR")</f>
        <v/>
      </c>
      <c r="AL311" s="15">
        <f>IFERROR(IF(AK311&lt;&gt;"",AK311/43560,""),"—")</f>
        <v/>
      </c>
      <c r="AN311" s="14">
        <f>IFERROR(IF(AL311="","",IF(AL311&lt;2,"Residential (&lt;2ac)",IF(AL311&lt;10,"Small Rural (2-10ac)",IF(AL311&lt;40,"Rural (10-40ac)",IF(AL311&lt;100,"Farm/Estate (40-100ac)","Large Farm (100+ac)"))))),"—")</f>
        <v/>
      </c>
      <c r="AZ311" s="21" t="n"/>
      <c r="BF311" s="21" t="n"/>
      <c r="BG311" s="21" t="n"/>
      <c r="BH311" s="22">
        <f>IFERROR(IF(AND(BF311&lt;&gt;"",BG311&lt;&gt;""),AVERAGE(BF311,BG311),""),"—")</f>
        <v/>
      </c>
      <c r="BK311" s="21" t="n"/>
      <c r="BM311" s="21" t="n"/>
      <c r="BN311" s="28">
        <f>IFERROR(IF(AND(BK311&lt;&gt;"",BM311&lt;&gt;""),IF(BM311&lt;BK311,1,0),""),"")</f>
        <v/>
      </c>
      <c r="BP311" s="21" t="n"/>
      <c r="BS311" s="29">
        <f>IFERROR(IF(AND(BH311&lt;&gt;"",BK311&lt;&gt;""),(BH311-BK311)/BK311,""),"—")</f>
        <v/>
      </c>
      <c r="BT311" s="29">
        <f>IFERROR(IF(AND(BH311&lt;&gt;"",BP311&lt;&gt;""),(BH311-BP311)/BP311,""),"—")</f>
        <v/>
      </c>
      <c r="BU311" s="29">
        <f>IFERROR(IF(AND(BK311&lt;&gt;"",BP311&lt;&gt;""),(BP311-BK311)/BK311,""),"—")</f>
        <v/>
      </c>
    </row>
    <row r="312">
      <c r="AK312" s="14">
        <f>IFERROR(IF(AND(AG312&lt;&gt;"",AH312&lt;&gt;""),AG312*AH312,IF(AI312&lt;&gt;"",AI312,IF(AJ312&lt;&gt;"",AJ312*43560,""))),"ERROR")</f>
        <v/>
      </c>
      <c r="AL312" s="15">
        <f>IFERROR(IF(AK312&lt;&gt;"",AK312/43560,""),"—")</f>
        <v/>
      </c>
      <c r="AN312" s="14">
        <f>IFERROR(IF(AL312="","",IF(AL312&lt;2,"Residential (&lt;2ac)",IF(AL312&lt;10,"Small Rural (2-10ac)",IF(AL312&lt;40,"Rural (10-40ac)",IF(AL312&lt;100,"Farm/Estate (40-100ac)","Large Farm (100+ac)"))))),"—")</f>
        <v/>
      </c>
      <c r="AZ312" s="21" t="n"/>
      <c r="BF312" s="21" t="n"/>
      <c r="BG312" s="21" t="n"/>
      <c r="BH312" s="22">
        <f>IFERROR(IF(AND(BF312&lt;&gt;"",BG312&lt;&gt;""),AVERAGE(BF312,BG312),""),"—")</f>
        <v/>
      </c>
      <c r="BK312" s="21" t="n"/>
      <c r="BM312" s="21" t="n"/>
      <c r="BN312" s="28">
        <f>IFERROR(IF(AND(BK312&lt;&gt;"",BM312&lt;&gt;""),IF(BM312&lt;BK312,1,0),""),"")</f>
        <v/>
      </c>
      <c r="BP312" s="21" t="n"/>
      <c r="BS312" s="29">
        <f>IFERROR(IF(AND(BH312&lt;&gt;"",BK312&lt;&gt;""),(BH312-BK312)/BK312,""),"—")</f>
        <v/>
      </c>
      <c r="BT312" s="29">
        <f>IFERROR(IF(AND(BH312&lt;&gt;"",BP312&lt;&gt;""),(BH312-BP312)/BP312,""),"—")</f>
        <v/>
      </c>
      <c r="BU312" s="29">
        <f>IFERROR(IF(AND(BK312&lt;&gt;"",BP312&lt;&gt;""),(BP312-BK312)/BK312,""),"—")</f>
        <v/>
      </c>
    </row>
    <row r="313">
      <c r="AK313" s="14">
        <f>IFERROR(IF(AND(AG313&lt;&gt;"",AH313&lt;&gt;""),AG313*AH313,IF(AI313&lt;&gt;"",AI313,IF(AJ313&lt;&gt;"",AJ313*43560,""))),"ERROR")</f>
        <v/>
      </c>
      <c r="AL313" s="15">
        <f>IFERROR(IF(AK313&lt;&gt;"",AK313/43560,""),"—")</f>
        <v/>
      </c>
      <c r="AN313" s="14">
        <f>IFERROR(IF(AL313="","",IF(AL313&lt;2,"Residential (&lt;2ac)",IF(AL313&lt;10,"Small Rural (2-10ac)",IF(AL313&lt;40,"Rural (10-40ac)",IF(AL313&lt;100,"Farm/Estate (40-100ac)","Large Farm (100+ac)"))))),"—")</f>
        <v/>
      </c>
      <c r="AZ313" s="21" t="n"/>
      <c r="BF313" s="21" t="n"/>
      <c r="BG313" s="21" t="n"/>
      <c r="BH313" s="22">
        <f>IFERROR(IF(AND(BF313&lt;&gt;"",BG313&lt;&gt;""),AVERAGE(BF313,BG313),""),"—")</f>
        <v/>
      </c>
      <c r="BK313" s="21" t="n"/>
      <c r="BM313" s="21" t="n"/>
      <c r="BN313" s="28">
        <f>IFERROR(IF(AND(BK313&lt;&gt;"",BM313&lt;&gt;""),IF(BM313&lt;BK313,1,0),""),"")</f>
        <v/>
      </c>
      <c r="BP313" s="21" t="n"/>
      <c r="BS313" s="29">
        <f>IFERROR(IF(AND(BH313&lt;&gt;"",BK313&lt;&gt;""),(BH313-BK313)/BK313,""),"—")</f>
        <v/>
      </c>
      <c r="BT313" s="29">
        <f>IFERROR(IF(AND(BH313&lt;&gt;"",BP313&lt;&gt;""),(BH313-BP313)/BP313,""),"—")</f>
        <v/>
      </c>
      <c r="BU313" s="29">
        <f>IFERROR(IF(AND(BK313&lt;&gt;"",BP313&lt;&gt;""),(BP313-BK313)/BK313,""),"—")</f>
        <v/>
      </c>
    </row>
    <row r="314">
      <c r="AK314" s="14">
        <f>IFERROR(IF(AND(AG314&lt;&gt;"",AH314&lt;&gt;""),AG314*AH314,IF(AI314&lt;&gt;"",AI314,IF(AJ314&lt;&gt;"",AJ314*43560,""))),"ERROR")</f>
        <v/>
      </c>
      <c r="AL314" s="15">
        <f>IFERROR(IF(AK314&lt;&gt;"",AK314/43560,""),"—")</f>
        <v/>
      </c>
      <c r="AN314" s="14">
        <f>IFERROR(IF(AL314="","",IF(AL314&lt;2,"Residential (&lt;2ac)",IF(AL314&lt;10,"Small Rural (2-10ac)",IF(AL314&lt;40,"Rural (10-40ac)",IF(AL314&lt;100,"Farm/Estate (40-100ac)","Large Farm (100+ac)"))))),"—")</f>
        <v/>
      </c>
      <c r="AZ314" s="21" t="n"/>
      <c r="BF314" s="21" t="n"/>
      <c r="BG314" s="21" t="n"/>
      <c r="BH314" s="22">
        <f>IFERROR(IF(AND(BF314&lt;&gt;"",BG314&lt;&gt;""),AVERAGE(BF314,BG314),""),"—")</f>
        <v/>
      </c>
      <c r="BK314" s="21" t="n"/>
      <c r="BM314" s="21" t="n"/>
      <c r="BN314" s="28">
        <f>IFERROR(IF(AND(BK314&lt;&gt;"",BM314&lt;&gt;""),IF(BM314&lt;BK314,1,0),""),"")</f>
        <v/>
      </c>
      <c r="BP314" s="21" t="n"/>
      <c r="BS314" s="29">
        <f>IFERROR(IF(AND(BH314&lt;&gt;"",BK314&lt;&gt;""),(BH314-BK314)/BK314,""),"—")</f>
        <v/>
      </c>
      <c r="BT314" s="29">
        <f>IFERROR(IF(AND(BH314&lt;&gt;"",BP314&lt;&gt;""),(BH314-BP314)/BP314,""),"—")</f>
        <v/>
      </c>
      <c r="BU314" s="29">
        <f>IFERROR(IF(AND(BK314&lt;&gt;"",BP314&lt;&gt;""),(BP314-BK314)/BK314,""),"—")</f>
        <v/>
      </c>
    </row>
    <row r="315">
      <c r="AK315" s="14">
        <f>IFERROR(IF(AND(AG315&lt;&gt;"",AH315&lt;&gt;""),AG315*AH315,IF(AI315&lt;&gt;"",AI315,IF(AJ315&lt;&gt;"",AJ315*43560,""))),"ERROR")</f>
        <v/>
      </c>
      <c r="AL315" s="15">
        <f>IFERROR(IF(AK315&lt;&gt;"",AK315/43560,""),"—")</f>
        <v/>
      </c>
      <c r="AN315" s="14">
        <f>IFERROR(IF(AL315="","",IF(AL315&lt;2,"Residential (&lt;2ac)",IF(AL315&lt;10,"Small Rural (2-10ac)",IF(AL315&lt;40,"Rural (10-40ac)",IF(AL315&lt;100,"Farm/Estate (40-100ac)","Large Farm (100+ac)"))))),"—")</f>
        <v/>
      </c>
      <c r="AZ315" s="21" t="n"/>
      <c r="BF315" s="21" t="n"/>
      <c r="BG315" s="21" t="n"/>
      <c r="BH315" s="22">
        <f>IFERROR(IF(AND(BF315&lt;&gt;"",BG315&lt;&gt;""),AVERAGE(BF315,BG315),""),"—")</f>
        <v/>
      </c>
      <c r="BK315" s="21" t="n"/>
      <c r="BM315" s="21" t="n"/>
      <c r="BN315" s="28">
        <f>IFERROR(IF(AND(BK315&lt;&gt;"",BM315&lt;&gt;""),IF(BM315&lt;BK315,1,0),""),"")</f>
        <v/>
      </c>
      <c r="BP315" s="21" t="n"/>
      <c r="BS315" s="29">
        <f>IFERROR(IF(AND(BH315&lt;&gt;"",BK315&lt;&gt;""),(BH315-BK315)/BK315,""),"—")</f>
        <v/>
      </c>
      <c r="BT315" s="29">
        <f>IFERROR(IF(AND(BH315&lt;&gt;"",BP315&lt;&gt;""),(BH315-BP315)/BP315,""),"—")</f>
        <v/>
      </c>
      <c r="BU315" s="29">
        <f>IFERROR(IF(AND(BK315&lt;&gt;"",BP315&lt;&gt;""),(BP315-BK315)/BK315,""),"—")</f>
        <v/>
      </c>
    </row>
    <row r="316">
      <c r="AK316" s="14">
        <f>IFERROR(IF(AND(AG316&lt;&gt;"",AH316&lt;&gt;""),AG316*AH316,IF(AI316&lt;&gt;"",AI316,IF(AJ316&lt;&gt;"",AJ316*43560,""))),"ERROR")</f>
        <v/>
      </c>
      <c r="AL316" s="15">
        <f>IFERROR(IF(AK316&lt;&gt;"",AK316/43560,""),"—")</f>
        <v/>
      </c>
      <c r="AN316" s="14">
        <f>IFERROR(IF(AL316="","",IF(AL316&lt;2,"Residential (&lt;2ac)",IF(AL316&lt;10,"Small Rural (2-10ac)",IF(AL316&lt;40,"Rural (10-40ac)",IF(AL316&lt;100,"Farm/Estate (40-100ac)","Large Farm (100+ac)"))))),"—")</f>
        <v/>
      </c>
      <c r="AZ316" s="21" t="n"/>
      <c r="BF316" s="21" t="n"/>
      <c r="BG316" s="21" t="n"/>
      <c r="BH316" s="22">
        <f>IFERROR(IF(AND(BF316&lt;&gt;"",BG316&lt;&gt;""),AVERAGE(BF316,BG316),""),"—")</f>
        <v/>
      </c>
      <c r="BK316" s="21" t="n"/>
      <c r="BM316" s="21" t="n"/>
      <c r="BN316" s="28">
        <f>IFERROR(IF(AND(BK316&lt;&gt;"",BM316&lt;&gt;""),IF(BM316&lt;BK316,1,0),""),"")</f>
        <v/>
      </c>
      <c r="BP316" s="21" t="n"/>
      <c r="BS316" s="29">
        <f>IFERROR(IF(AND(BH316&lt;&gt;"",BK316&lt;&gt;""),(BH316-BK316)/BK316,""),"—")</f>
        <v/>
      </c>
      <c r="BT316" s="29">
        <f>IFERROR(IF(AND(BH316&lt;&gt;"",BP316&lt;&gt;""),(BH316-BP316)/BP316,""),"—")</f>
        <v/>
      </c>
      <c r="BU316" s="29">
        <f>IFERROR(IF(AND(BK316&lt;&gt;"",BP316&lt;&gt;""),(BP316-BK316)/BK316,""),"—")</f>
        <v/>
      </c>
    </row>
    <row r="317">
      <c r="AK317" s="14">
        <f>IFERROR(IF(AND(AG317&lt;&gt;"",AH317&lt;&gt;""),AG317*AH317,IF(AI317&lt;&gt;"",AI317,IF(AJ317&lt;&gt;"",AJ317*43560,""))),"ERROR")</f>
        <v/>
      </c>
      <c r="AL317" s="15">
        <f>IFERROR(IF(AK317&lt;&gt;"",AK317/43560,""),"—")</f>
        <v/>
      </c>
      <c r="AN317" s="14">
        <f>IFERROR(IF(AL317="","",IF(AL317&lt;2,"Residential (&lt;2ac)",IF(AL317&lt;10,"Small Rural (2-10ac)",IF(AL317&lt;40,"Rural (10-40ac)",IF(AL317&lt;100,"Farm/Estate (40-100ac)","Large Farm (100+ac)"))))),"—")</f>
        <v/>
      </c>
      <c r="AZ317" s="21" t="n"/>
      <c r="BF317" s="21" t="n"/>
      <c r="BG317" s="21" t="n"/>
      <c r="BH317" s="22">
        <f>IFERROR(IF(AND(BF317&lt;&gt;"",BG317&lt;&gt;""),AVERAGE(BF317,BG317),""),"—")</f>
        <v/>
      </c>
      <c r="BK317" s="21" t="n"/>
      <c r="BM317" s="21" t="n"/>
      <c r="BN317" s="28">
        <f>IFERROR(IF(AND(BK317&lt;&gt;"",BM317&lt;&gt;""),IF(BM317&lt;BK317,1,0),""),"")</f>
        <v/>
      </c>
      <c r="BP317" s="21" t="n"/>
      <c r="BS317" s="29">
        <f>IFERROR(IF(AND(BH317&lt;&gt;"",BK317&lt;&gt;""),(BH317-BK317)/BK317,""),"—")</f>
        <v/>
      </c>
      <c r="BT317" s="29">
        <f>IFERROR(IF(AND(BH317&lt;&gt;"",BP317&lt;&gt;""),(BH317-BP317)/BP317,""),"—")</f>
        <v/>
      </c>
      <c r="BU317" s="29">
        <f>IFERROR(IF(AND(BK317&lt;&gt;"",BP317&lt;&gt;""),(BP317-BK317)/BK317,""),"—")</f>
        <v/>
      </c>
    </row>
    <row r="318">
      <c r="AK318" s="14">
        <f>IFERROR(IF(AND(AG318&lt;&gt;"",AH318&lt;&gt;""),AG318*AH318,IF(AI318&lt;&gt;"",AI318,IF(AJ318&lt;&gt;"",AJ318*43560,""))),"ERROR")</f>
        <v/>
      </c>
      <c r="AL318" s="15">
        <f>IFERROR(IF(AK318&lt;&gt;"",AK318/43560,""),"—")</f>
        <v/>
      </c>
      <c r="AN318" s="14">
        <f>IFERROR(IF(AL318="","",IF(AL318&lt;2,"Residential (&lt;2ac)",IF(AL318&lt;10,"Small Rural (2-10ac)",IF(AL318&lt;40,"Rural (10-40ac)",IF(AL318&lt;100,"Farm/Estate (40-100ac)","Large Farm (100+ac)"))))),"—")</f>
        <v/>
      </c>
      <c r="AZ318" s="21" t="n"/>
      <c r="BF318" s="21" t="n"/>
      <c r="BG318" s="21" t="n"/>
      <c r="BH318" s="22">
        <f>IFERROR(IF(AND(BF318&lt;&gt;"",BG318&lt;&gt;""),AVERAGE(BF318,BG318),""),"—")</f>
        <v/>
      </c>
      <c r="BK318" s="21" t="n"/>
      <c r="BM318" s="21" t="n"/>
      <c r="BN318" s="28">
        <f>IFERROR(IF(AND(BK318&lt;&gt;"",BM318&lt;&gt;""),IF(BM318&lt;BK318,1,0),""),"")</f>
        <v/>
      </c>
      <c r="BP318" s="21" t="n"/>
      <c r="BS318" s="29">
        <f>IFERROR(IF(AND(BH318&lt;&gt;"",BK318&lt;&gt;""),(BH318-BK318)/BK318,""),"—")</f>
        <v/>
      </c>
      <c r="BT318" s="29">
        <f>IFERROR(IF(AND(BH318&lt;&gt;"",BP318&lt;&gt;""),(BH318-BP318)/BP318,""),"—")</f>
        <v/>
      </c>
      <c r="BU318" s="29">
        <f>IFERROR(IF(AND(BK318&lt;&gt;"",BP318&lt;&gt;""),(BP318-BK318)/BK318,""),"—")</f>
        <v/>
      </c>
    </row>
    <row r="319">
      <c r="AK319" s="14">
        <f>IFERROR(IF(AND(AG319&lt;&gt;"",AH319&lt;&gt;""),AG319*AH319,IF(AI319&lt;&gt;"",AI319,IF(AJ319&lt;&gt;"",AJ319*43560,""))),"ERROR")</f>
        <v/>
      </c>
      <c r="AL319" s="15">
        <f>IFERROR(IF(AK319&lt;&gt;"",AK319/43560,""),"—")</f>
        <v/>
      </c>
      <c r="AN319" s="14">
        <f>IFERROR(IF(AL319="","",IF(AL319&lt;2,"Residential (&lt;2ac)",IF(AL319&lt;10,"Small Rural (2-10ac)",IF(AL319&lt;40,"Rural (10-40ac)",IF(AL319&lt;100,"Farm/Estate (40-100ac)","Large Farm (100+ac)"))))),"—")</f>
        <v/>
      </c>
      <c r="AZ319" s="21" t="n"/>
      <c r="BF319" s="21" t="n"/>
      <c r="BG319" s="21" t="n"/>
      <c r="BH319" s="22">
        <f>IFERROR(IF(AND(BF319&lt;&gt;"",BG319&lt;&gt;""),AVERAGE(BF319,BG319),""),"—")</f>
        <v/>
      </c>
      <c r="BK319" s="21" t="n"/>
      <c r="BM319" s="21" t="n"/>
      <c r="BN319" s="28">
        <f>IFERROR(IF(AND(BK319&lt;&gt;"",BM319&lt;&gt;""),IF(BM319&lt;BK319,1,0),""),"")</f>
        <v/>
      </c>
      <c r="BP319" s="21" t="n"/>
      <c r="BS319" s="29">
        <f>IFERROR(IF(AND(BH319&lt;&gt;"",BK319&lt;&gt;""),(BH319-BK319)/BK319,""),"—")</f>
        <v/>
      </c>
      <c r="BT319" s="29">
        <f>IFERROR(IF(AND(BH319&lt;&gt;"",BP319&lt;&gt;""),(BH319-BP319)/BP319,""),"—")</f>
        <v/>
      </c>
      <c r="BU319" s="29">
        <f>IFERROR(IF(AND(BK319&lt;&gt;"",BP319&lt;&gt;""),(BP319-BK319)/BK319,""),"—")</f>
        <v/>
      </c>
    </row>
    <row r="320">
      <c r="AK320" s="14">
        <f>IFERROR(IF(AND(AG320&lt;&gt;"",AH320&lt;&gt;""),AG320*AH320,IF(AI320&lt;&gt;"",AI320,IF(AJ320&lt;&gt;"",AJ320*43560,""))),"ERROR")</f>
        <v/>
      </c>
      <c r="AL320" s="15">
        <f>IFERROR(IF(AK320&lt;&gt;"",AK320/43560,""),"—")</f>
        <v/>
      </c>
      <c r="AN320" s="14">
        <f>IFERROR(IF(AL320="","",IF(AL320&lt;2,"Residential (&lt;2ac)",IF(AL320&lt;10,"Small Rural (2-10ac)",IF(AL320&lt;40,"Rural (10-40ac)",IF(AL320&lt;100,"Farm/Estate (40-100ac)","Large Farm (100+ac)"))))),"—")</f>
        <v/>
      </c>
      <c r="AZ320" s="21" t="n"/>
      <c r="BF320" s="21" t="n"/>
      <c r="BG320" s="21" t="n"/>
      <c r="BH320" s="22">
        <f>IFERROR(IF(AND(BF320&lt;&gt;"",BG320&lt;&gt;""),AVERAGE(BF320,BG320),""),"—")</f>
        <v/>
      </c>
      <c r="BK320" s="21" t="n"/>
      <c r="BM320" s="21" t="n"/>
      <c r="BN320" s="28">
        <f>IFERROR(IF(AND(BK320&lt;&gt;"",BM320&lt;&gt;""),IF(BM320&lt;BK320,1,0),""),"")</f>
        <v/>
      </c>
      <c r="BP320" s="21" t="n"/>
      <c r="BS320" s="29">
        <f>IFERROR(IF(AND(BH320&lt;&gt;"",BK320&lt;&gt;""),(BH320-BK320)/BK320,""),"—")</f>
        <v/>
      </c>
      <c r="BT320" s="29">
        <f>IFERROR(IF(AND(BH320&lt;&gt;"",BP320&lt;&gt;""),(BH320-BP320)/BP320,""),"—")</f>
        <v/>
      </c>
      <c r="BU320" s="29">
        <f>IFERROR(IF(AND(BK320&lt;&gt;"",BP320&lt;&gt;""),(BP320-BK320)/BK320,""),"—")</f>
        <v/>
      </c>
    </row>
    <row r="321">
      <c r="AK321" s="14">
        <f>IFERROR(IF(AND(AG321&lt;&gt;"",AH321&lt;&gt;""),AG321*AH321,IF(AI321&lt;&gt;"",AI321,IF(AJ321&lt;&gt;"",AJ321*43560,""))),"ERROR")</f>
        <v/>
      </c>
      <c r="AL321" s="15">
        <f>IFERROR(IF(AK321&lt;&gt;"",AK321/43560,""),"—")</f>
        <v/>
      </c>
      <c r="AN321" s="14">
        <f>IFERROR(IF(AL321="","",IF(AL321&lt;2,"Residential (&lt;2ac)",IF(AL321&lt;10,"Small Rural (2-10ac)",IF(AL321&lt;40,"Rural (10-40ac)",IF(AL321&lt;100,"Farm/Estate (40-100ac)","Large Farm (100+ac)"))))),"—")</f>
        <v/>
      </c>
      <c r="AZ321" s="21" t="n"/>
      <c r="BF321" s="21" t="n"/>
      <c r="BG321" s="21" t="n"/>
      <c r="BH321" s="22">
        <f>IFERROR(IF(AND(BF321&lt;&gt;"",BG321&lt;&gt;""),AVERAGE(BF321,BG321),""),"—")</f>
        <v/>
      </c>
      <c r="BK321" s="21" t="n"/>
      <c r="BM321" s="21" t="n"/>
      <c r="BN321" s="28">
        <f>IFERROR(IF(AND(BK321&lt;&gt;"",BM321&lt;&gt;""),IF(BM321&lt;BK321,1,0),""),"")</f>
        <v/>
      </c>
      <c r="BP321" s="21" t="n"/>
      <c r="BS321" s="29">
        <f>IFERROR(IF(AND(BH321&lt;&gt;"",BK321&lt;&gt;""),(BH321-BK321)/BK321,""),"—")</f>
        <v/>
      </c>
      <c r="BT321" s="29">
        <f>IFERROR(IF(AND(BH321&lt;&gt;"",BP321&lt;&gt;""),(BH321-BP321)/BP321,""),"—")</f>
        <v/>
      </c>
      <c r="BU321" s="29">
        <f>IFERROR(IF(AND(BK321&lt;&gt;"",BP321&lt;&gt;""),(BP321-BK321)/BK321,""),"—")</f>
        <v/>
      </c>
    </row>
    <row r="322">
      <c r="AK322" s="14">
        <f>IFERROR(IF(AND(AG322&lt;&gt;"",AH322&lt;&gt;""),AG322*AH322,IF(AI322&lt;&gt;"",AI322,IF(AJ322&lt;&gt;"",AJ322*43560,""))),"ERROR")</f>
        <v/>
      </c>
      <c r="AL322" s="15">
        <f>IFERROR(IF(AK322&lt;&gt;"",AK322/43560,""),"—")</f>
        <v/>
      </c>
      <c r="AN322" s="14">
        <f>IFERROR(IF(AL322="","",IF(AL322&lt;2,"Residential (&lt;2ac)",IF(AL322&lt;10,"Small Rural (2-10ac)",IF(AL322&lt;40,"Rural (10-40ac)",IF(AL322&lt;100,"Farm/Estate (40-100ac)","Large Farm (100+ac)"))))),"—")</f>
        <v/>
      </c>
      <c r="AZ322" s="21" t="n"/>
      <c r="BF322" s="21" t="n"/>
      <c r="BG322" s="21" t="n"/>
      <c r="BH322" s="22">
        <f>IFERROR(IF(AND(BF322&lt;&gt;"",BG322&lt;&gt;""),AVERAGE(BF322,BG322),""),"—")</f>
        <v/>
      </c>
      <c r="BK322" s="21" t="n"/>
      <c r="BM322" s="21" t="n"/>
      <c r="BN322" s="28">
        <f>IFERROR(IF(AND(BK322&lt;&gt;"",BM322&lt;&gt;""),IF(BM322&lt;BK322,1,0),""),"")</f>
        <v/>
      </c>
      <c r="BP322" s="21" t="n"/>
      <c r="BS322" s="29">
        <f>IFERROR(IF(AND(BH322&lt;&gt;"",BK322&lt;&gt;""),(BH322-BK322)/BK322,""),"—")</f>
        <v/>
      </c>
      <c r="BT322" s="29">
        <f>IFERROR(IF(AND(BH322&lt;&gt;"",BP322&lt;&gt;""),(BH322-BP322)/BP322,""),"—")</f>
        <v/>
      </c>
      <c r="BU322" s="29">
        <f>IFERROR(IF(AND(BK322&lt;&gt;"",BP322&lt;&gt;""),(BP322-BK322)/BK322,""),"—")</f>
        <v/>
      </c>
    </row>
    <row r="323">
      <c r="AK323" s="14">
        <f>IFERROR(IF(AND(AG323&lt;&gt;"",AH323&lt;&gt;""),AG323*AH323,IF(AI323&lt;&gt;"",AI323,IF(AJ323&lt;&gt;"",AJ323*43560,""))),"ERROR")</f>
        <v/>
      </c>
      <c r="AL323" s="15">
        <f>IFERROR(IF(AK323&lt;&gt;"",AK323/43560,""),"—")</f>
        <v/>
      </c>
      <c r="AN323" s="14">
        <f>IFERROR(IF(AL323="","",IF(AL323&lt;2,"Residential (&lt;2ac)",IF(AL323&lt;10,"Small Rural (2-10ac)",IF(AL323&lt;40,"Rural (10-40ac)",IF(AL323&lt;100,"Farm/Estate (40-100ac)","Large Farm (100+ac)"))))),"—")</f>
        <v/>
      </c>
      <c r="AZ323" s="21" t="n"/>
      <c r="BF323" s="21" t="n"/>
      <c r="BG323" s="21" t="n"/>
      <c r="BH323" s="22">
        <f>IFERROR(IF(AND(BF323&lt;&gt;"",BG323&lt;&gt;""),AVERAGE(BF323,BG323),""),"—")</f>
        <v/>
      </c>
      <c r="BK323" s="21" t="n"/>
      <c r="BM323" s="21" t="n"/>
      <c r="BN323" s="28">
        <f>IFERROR(IF(AND(BK323&lt;&gt;"",BM323&lt;&gt;""),IF(BM323&lt;BK323,1,0),""),"")</f>
        <v/>
      </c>
      <c r="BP323" s="21" t="n"/>
      <c r="BS323" s="29">
        <f>IFERROR(IF(AND(BH323&lt;&gt;"",BK323&lt;&gt;""),(BH323-BK323)/BK323,""),"—")</f>
        <v/>
      </c>
      <c r="BT323" s="29">
        <f>IFERROR(IF(AND(BH323&lt;&gt;"",BP323&lt;&gt;""),(BH323-BP323)/BP323,""),"—")</f>
        <v/>
      </c>
      <c r="BU323" s="29">
        <f>IFERROR(IF(AND(BK323&lt;&gt;"",BP323&lt;&gt;""),(BP323-BK323)/BK323,""),"—")</f>
        <v/>
      </c>
    </row>
    <row r="324">
      <c r="AK324" s="14">
        <f>IFERROR(IF(AND(AG324&lt;&gt;"",AH324&lt;&gt;""),AG324*AH324,IF(AI324&lt;&gt;"",AI324,IF(AJ324&lt;&gt;"",AJ324*43560,""))),"ERROR")</f>
        <v/>
      </c>
      <c r="AL324" s="15">
        <f>IFERROR(IF(AK324&lt;&gt;"",AK324/43560,""),"—")</f>
        <v/>
      </c>
      <c r="AN324" s="14">
        <f>IFERROR(IF(AL324="","",IF(AL324&lt;2,"Residential (&lt;2ac)",IF(AL324&lt;10,"Small Rural (2-10ac)",IF(AL324&lt;40,"Rural (10-40ac)",IF(AL324&lt;100,"Farm/Estate (40-100ac)","Large Farm (100+ac)"))))),"—")</f>
        <v/>
      </c>
      <c r="AZ324" s="21" t="n"/>
      <c r="BF324" s="21" t="n"/>
      <c r="BG324" s="21" t="n"/>
      <c r="BH324" s="22">
        <f>IFERROR(IF(AND(BF324&lt;&gt;"",BG324&lt;&gt;""),AVERAGE(BF324,BG324),""),"—")</f>
        <v/>
      </c>
      <c r="BK324" s="21" t="n"/>
      <c r="BM324" s="21" t="n"/>
      <c r="BN324" s="28">
        <f>IFERROR(IF(AND(BK324&lt;&gt;"",BM324&lt;&gt;""),IF(BM324&lt;BK324,1,0),""),"")</f>
        <v/>
      </c>
      <c r="BP324" s="21" t="n"/>
      <c r="BS324" s="29">
        <f>IFERROR(IF(AND(BH324&lt;&gt;"",BK324&lt;&gt;""),(BH324-BK324)/BK324,""),"—")</f>
        <v/>
      </c>
      <c r="BT324" s="29">
        <f>IFERROR(IF(AND(BH324&lt;&gt;"",BP324&lt;&gt;""),(BH324-BP324)/BP324,""),"—")</f>
        <v/>
      </c>
      <c r="BU324" s="29">
        <f>IFERROR(IF(AND(BK324&lt;&gt;"",BP324&lt;&gt;""),(BP324-BK324)/BK324,""),"—")</f>
        <v/>
      </c>
    </row>
    <row r="325">
      <c r="AK325" s="14">
        <f>IFERROR(IF(AND(AG325&lt;&gt;"",AH325&lt;&gt;""),AG325*AH325,IF(AI325&lt;&gt;"",AI325,IF(AJ325&lt;&gt;"",AJ325*43560,""))),"ERROR")</f>
        <v/>
      </c>
      <c r="AL325" s="15">
        <f>IFERROR(IF(AK325&lt;&gt;"",AK325/43560,""),"—")</f>
        <v/>
      </c>
      <c r="AN325" s="14">
        <f>IFERROR(IF(AL325="","",IF(AL325&lt;2,"Residential (&lt;2ac)",IF(AL325&lt;10,"Small Rural (2-10ac)",IF(AL325&lt;40,"Rural (10-40ac)",IF(AL325&lt;100,"Farm/Estate (40-100ac)","Large Farm (100+ac)"))))),"—")</f>
        <v/>
      </c>
      <c r="AZ325" s="21" t="n"/>
      <c r="BF325" s="21" t="n"/>
      <c r="BG325" s="21" t="n"/>
      <c r="BH325" s="22">
        <f>IFERROR(IF(AND(BF325&lt;&gt;"",BG325&lt;&gt;""),AVERAGE(BF325,BG325),""),"—")</f>
        <v/>
      </c>
      <c r="BK325" s="21" t="n"/>
      <c r="BM325" s="21" t="n"/>
      <c r="BN325" s="28">
        <f>IFERROR(IF(AND(BK325&lt;&gt;"",BM325&lt;&gt;""),IF(BM325&lt;BK325,1,0),""),"")</f>
        <v/>
      </c>
      <c r="BP325" s="21" t="n"/>
      <c r="BS325" s="29">
        <f>IFERROR(IF(AND(BH325&lt;&gt;"",BK325&lt;&gt;""),(BH325-BK325)/BK325,""),"—")</f>
        <v/>
      </c>
      <c r="BT325" s="29">
        <f>IFERROR(IF(AND(BH325&lt;&gt;"",BP325&lt;&gt;""),(BH325-BP325)/BP325,""),"—")</f>
        <v/>
      </c>
      <c r="BU325" s="29">
        <f>IFERROR(IF(AND(BK325&lt;&gt;"",BP325&lt;&gt;""),(BP325-BK325)/BK325,""),"—")</f>
        <v/>
      </c>
    </row>
    <row r="326">
      <c r="AK326" s="14">
        <f>IFERROR(IF(AND(AG326&lt;&gt;"",AH326&lt;&gt;""),AG326*AH326,IF(AI326&lt;&gt;"",AI326,IF(AJ326&lt;&gt;"",AJ326*43560,""))),"ERROR")</f>
        <v/>
      </c>
      <c r="AL326" s="15">
        <f>IFERROR(IF(AK326&lt;&gt;"",AK326/43560,""),"—")</f>
        <v/>
      </c>
      <c r="AN326" s="14">
        <f>IFERROR(IF(AL326="","",IF(AL326&lt;2,"Residential (&lt;2ac)",IF(AL326&lt;10,"Small Rural (2-10ac)",IF(AL326&lt;40,"Rural (10-40ac)",IF(AL326&lt;100,"Farm/Estate (40-100ac)","Large Farm (100+ac)"))))),"—")</f>
        <v/>
      </c>
      <c r="AZ326" s="21" t="n"/>
      <c r="BF326" s="21" t="n"/>
      <c r="BG326" s="21" t="n"/>
      <c r="BH326" s="22">
        <f>IFERROR(IF(AND(BF326&lt;&gt;"",BG326&lt;&gt;""),AVERAGE(BF326,BG326),""),"—")</f>
        <v/>
      </c>
      <c r="BK326" s="21" t="n"/>
      <c r="BM326" s="21" t="n"/>
      <c r="BN326" s="28">
        <f>IFERROR(IF(AND(BK326&lt;&gt;"",BM326&lt;&gt;""),IF(BM326&lt;BK326,1,0),""),"")</f>
        <v/>
      </c>
      <c r="BP326" s="21" t="n"/>
      <c r="BS326" s="29">
        <f>IFERROR(IF(AND(BH326&lt;&gt;"",BK326&lt;&gt;""),(BH326-BK326)/BK326,""),"—")</f>
        <v/>
      </c>
      <c r="BT326" s="29">
        <f>IFERROR(IF(AND(BH326&lt;&gt;"",BP326&lt;&gt;""),(BH326-BP326)/BP326,""),"—")</f>
        <v/>
      </c>
      <c r="BU326" s="29">
        <f>IFERROR(IF(AND(BK326&lt;&gt;"",BP326&lt;&gt;""),(BP326-BK326)/BK326,""),"—")</f>
        <v/>
      </c>
    </row>
    <row r="327">
      <c r="AK327" s="14">
        <f>IFERROR(IF(AND(AG327&lt;&gt;"",AH327&lt;&gt;""),AG327*AH327,IF(AI327&lt;&gt;"",AI327,IF(AJ327&lt;&gt;"",AJ327*43560,""))),"ERROR")</f>
        <v/>
      </c>
      <c r="AL327" s="15">
        <f>IFERROR(IF(AK327&lt;&gt;"",AK327/43560,""),"—")</f>
        <v/>
      </c>
      <c r="AN327" s="14">
        <f>IFERROR(IF(AL327="","",IF(AL327&lt;2,"Residential (&lt;2ac)",IF(AL327&lt;10,"Small Rural (2-10ac)",IF(AL327&lt;40,"Rural (10-40ac)",IF(AL327&lt;100,"Farm/Estate (40-100ac)","Large Farm (100+ac)"))))),"—")</f>
        <v/>
      </c>
      <c r="AZ327" s="21" t="n"/>
      <c r="BF327" s="21" t="n"/>
      <c r="BG327" s="21" t="n"/>
      <c r="BH327" s="22">
        <f>IFERROR(IF(AND(BF327&lt;&gt;"",BG327&lt;&gt;""),AVERAGE(BF327,BG327),""),"—")</f>
        <v/>
      </c>
      <c r="BK327" s="21" t="n"/>
      <c r="BM327" s="21" t="n"/>
      <c r="BN327" s="28">
        <f>IFERROR(IF(AND(BK327&lt;&gt;"",BM327&lt;&gt;""),IF(BM327&lt;BK327,1,0),""),"")</f>
        <v/>
      </c>
      <c r="BP327" s="21" t="n"/>
      <c r="BS327" s="29">
        <f>IFERROR(IF(AND(BH327&lt;&gt;"",BK327&lt;&gt;""),(BH327-BK327)/BK327,""),"—")</f>
        <v/>
      </c>
      <c r="BT327" s="29">
        <f>IFERROR(IF(AND(BH327&lt;&gt;"",BP327&lt;&gt;""),(BH327-BP327)/BP327,""),"—")</f>
        <v/>
      </c>
      <c r="BU327" s="29">
        <f>IFERROR(IF(AND(BK327&lt;&gt;"",BP327&lt;&gt;""),(BP327-BK327)/BK327,""),"—")</f>
        <v/>
      </c>
    </row>
    <row r="328">
      <c r="AK328" s="14">
        <f>IFERROR(IF(AND(AG328&lt;&gt;"",AH328&lt;&gt;""),AG328*AH328,IF(AI328&lt;&gt;"",AI328,IF(AJ328&lt;&gt;"",AJ328*43560,""))),"ERROR")</f>
        <v/>
      </c>
      <c r="AL328" s="15">
        <f>IFERROR(IF(AK328&lt;&gt;"",AK328/43560,""),"—")</f>
        <v/>
      </c>
      <c r="AN328" s="14">
        <f>IFERROR(IF(AL328="","",IF(AL328&lt;2,"Residential (&lt;2ac)",IF(AL328&lt;10,"Small Rural (2-10ac)",IF(AL328&lt;40,"Rural (10-40ac)",IF(AL328&lt;100,"Farm/Estate (40-100ac)","Large Farm (100+ac)"))))),"—")</f>
        <v/>
      </c>
      <c r="AZ328" s="21" t="n"/>
      <c r="BF328" s="21" t="n"/>
      <c r="BG328" s="21" t="n"/>
      <c r="BH328" s="22">
        <f>IFERROR(IF(AND(BF328&lt;&gt;"",BG328&lt;&gt;""),AVERAGE(BF328,BG328),""),"—")</f>
        <v/>
      </c>
      <c r="BK328" s="21" t="n"/>
      <c r="BM328" s="21" t="n"/>
      <c r="BN328" s="28">
        <f>IFERROR(IF(AND(BK328&lt;&gt;"",BM328&lt;&gt;""),IF(BM328&lt;BK328,1,0),""),"")</f>
        <v/>
      </c>
      <c r="BP328" s="21" t="n"/>
      <c r="BS328" s="29">
        <f>IFERROR(IF(AND(BH328&lt;&gt;"",BK328&lt;&gt;""),(BH328-BK328)/BK328,""),"—")</f>
        <v/>
      </c>
      <c r="BT328" s="29">
        <f>IFERROR(IF(AND(BH328&lt;&gt;"",BP328&lt;&gt;""),(BH328-BP328)/BP328,""),"—")</f>
        <v/>
      </c>
      <c r="BU328" s="29">
        <f>IFERROR(IF(AND(BK328&lt;&gt;"",BP328&lt;&gt;""),(BP328-BK328)/BK328,""),"—")</f>
        <v/>
      </c>
    </row>
    <row r="329">
      <c r="AK329" s="14">
        <f>IFERROR(IF(AND(AG329&lt;&gt;"",AH329&lt;&gt;""),AG329*AH329,IF(AI329&lt;&gt;"",AI329,IF(AJ329&lt;&gt;"",AJ329*43560,""))),"ERROR")</f>
        <v/>
      </c>
      <c r="AL329" s="15">
        <f>IFERROR(IF(AK329&lt;&gt;"",AK329/43560,""),"—")</f>
        <v/>
      </c>
      <c r="AN329" s="14">
        <f>IFERROR(IF(AL329="","",IF(AL329&lt;2,"Residential (&lt;2ac)",IF(AL329&lt;10,"Small Rural (2-10ac)",IF(AL329&lt;40,"Rural (10-40ac)",IF(AL329&lt;100,"Farm/Estate (40-100ac)","Large Farm (100+ac)"))))),"—")</f>
        <v/>
      </c>
      <c r="AZ329" s="21" t="n"/>
      <c r="BF329" s="21" t="n"/>
      <c r="BG329" s="21" t="n"/>
      <c r="BH329" s="22">
        <f>IFERROR(IF(AND(BF329&lt;&gt;"",BG329&lt;&gt;""),AVERAGE(BF329,BG329),""),"—")</f>
        <v/>
      </c>
      <c r="BK329" s="21" t="n"/>
      <c r="BM329" s="21" t="n"/>
      <c r="BN329" s="28">
        <f>IFERROR(IF(AND(BK329&lt;&gt;"",BM329&lt;&gt;""),IF(BM329&lt;BK329,1,0),""),"")</f>
        <v/>
      </c>
      <c r="BP329" s="21" t="n"/>
      <c r="BS329" s="29">
        <f>IFERROR(IF(AND(BH329&lt;&gt;"",BK329&lt;&gt;""),(BH329-BK329)/BK329,""),"—")</f>
        <v/>
      </c>
      <c r="BT329" s="29">
        <f>IFERROR(IF(AND(BH329&lt;&gt;"",BP329&lt;&gt;""),(BH329-BP329)/BP329,""),"—")</f>
        <v/>
      </c>
      <c r="BU329" s="29">
        <f>IFERROR(IF(AND(BK329&lt;&gt;"",BP329&lt;&gt;""),(BP329-BK329)/BK329,""),"—")</f>
        <v/>
      </c>
    </row>
    <row r="330">
      <c r="AK330" s="14">
        <f>IFERROR(IF(AND(AG330&lt;&gt;"",AH330&lt;&gt;""),AG330*AH330,IF(AI330&lt;&gt;"",AI330,IF(AJ330&lt;&gt;"",AJ330*43560,""))),"ERROR")</f>
        <v/>
      </c>
      <c r="AL330" s="15">
        <f>IFERROR(IF(AK330&lt;&gt;"",AK330/43560,""),"—")</f>
        <v/>
      </c>
      <c r="AN330" s="14">
        <f>IFERROR(IF(AL330="","",IF(AL330&lt;2,"Residential (&lt;2ac)",IF(AL330&lt;10,"Small Rural (2-10ac)",IF(AL330&lt;40,"Rural (10-40ac)",IF(AL330&lt;100,"Farm/Estate (40-100ac)","Large Farm (100+ac)"))))),"—")</f>
        <v/>
      </c>
      <c r="AZ330" s="21" t="n"/>
      <c r="BF330" s="21" t="n"/>
      <c r="BG330" s="21" t="n"/>
      <c r="BH330" s="22">
        <f>IFERROR(IF(AND(BF330&lt;&gt;"",BG330&lt;&gt;""),AVERAGE(BF330,BG330),""),"—")</f>
        <v/>
      </c>
      <c r="BK330" s="21" t="n"/>
      <c r="BM330" s="21" t="n"/>
      <c r="BN330" s="28">
        <f>IFERROR(IF(AND(BK330&lt;&gt;"",BM330&lt;&gt;""),IF(BM330&lt;BK330,1,0),""),"")</f>
        <v/>
      </c>
      <c r="BP330" s="21" t="n"/>
      <c r="BS330" s="29">
        <f>IFERROR(IF(AND(BH330&lt;&gt;"",BK330&lt;&gt;""),(BH330-BK330)/BK330,""),"—")</f>
        <v/>
      </c>
      <c r="BT330" s="29">
        <f>IFERROR(IF(AND(BH330&lt;&gt;"",BP330&lt;&gt;""),(BH330-BP330)/BP330,""),"—")</f>
        <v/>
      </c>
      <c r="BU330" s="29">
        <f>IFERROR(IF(AND(BK330&lt;&gt;"",BP330&lt;&gt;""),(BP330-BK330)/BK330,""),"—")</f>
        <v/>
      </c>
    </row>
    <row r="331">
      <c r="AK331" s="14">
        <f>IFERROR(IF(AND(AG331&lt;&gt;"",AH331&lt;&gt;""),AG331*AH331,IF(AI331&lt;&gt;"",AI331,IF(AJ331&lt;&gt;"",AJ331*43560,""))),"ERROR")</f>
        <v/>
      </c>
      <c r="AL331" s="15">
        <f>IFERROR(IF(AK331&lt;&gt;"",AK331/43560,""),"—")</f>
        <v/>
      </c>
      <c r="AN331" s="14">
        <f>IFERROR(IF(AL331="","",IF(AL331&lt;2,"Residential (&lt;2ac)",IF(AL331&lt;10,"Small Rural (2-10ac)",IF(AL331&lt;40,"Rural (10-40ac)",IF(AL331&lt;100,"Farm/Estate (40-100ac)","Large Farm (100+ac)"))))),"—")</f>
        <v/>
      </c>
      <c r="AZ331" s="21" t="n"/>
      <c r="BF331" s="21" t="n"/>
      <c r="BG331" s="21" t="n"/>
      <c r="BH331" s="22">
        <f>IFERROR(IF(AND(BF331&lt;&gt;"",BG331&lt;&gt;""),AVERAGE(BF331,BG331),""),"—")</f>
        <v/>
      </c>
      <c r="BK331" s="21" t="n"/>
      <c r="BM331" s="21" t="n"/>
      <c r="BN331" s="28">
        <f>IFERROR(IF(AND(BK331&lt;&gt;"",BM331&lt;&gt;""),IF(BM331&lt;BK331,1,0),""),"")</f>
        <v/>
      </c>
      <c r="BP331" s="21" t="n"/>
      <c r="BS331" s="29">
        <f>IFERROR(IF(AND(BH331&lt;&gt;"",BK331&lt;&gt;""),(BH331-BK331)/BK331,""),"—")</f>
        <v/>
      </c>
      <c r="BT331" s="29">
        <f>IFERROR(IF(AND(BH331&lt;&gt;"",BP331&lt;&gt;""),(BH331-BP331)/BP331,""),"—")</f>
        <v/>
      </c>
      <c r="BU331" s="29">
        <f>IFERROR(IF(AND(BK331&lt;&gt;"",BP331&lt;&gt;""),(BP331-BK331)/BK331,""),"—")</f>
        <v/>
      </c>
    </row>
    <row r="332">
      <c r="AK332" s="14">
        <f>IFERROR(IF(AND(AG332&lt;&gt;"",AH332&lt;&gt;""),AG332*AH332,IF(AI332&lt;&gt;"",AI332,IF(AJ332&lt;&gt;"",AJ332*43560,""))),"ERROR")</f>
        <v/>
      </c>
      <c r="AL332" s="15">
        <f>IFERROR(IF(AK332&lt;&gt;"",AK332/43560,""),"—")</f>
        <v/>
      </c>
      <c r="AN332" s="14">
        <f>IFERROR(IF(AL332="","",IF(AL332&lt;2,"Residential (&lt;2ac)",IF(AL332&lt;10,"Small Rural (2-10ac)",IF(AL332&lt;40,"Rural (10-40ac)",IF(AL332&lt;100,"Farm/Estate (40-100ac)","Large Farm (100+ac)"))))),"—")</f>
        <v/>
      </c>
      <c r="AZ332" s="21" t="n"/>
      <c r="BF332" s="21" t="n"/>
      <c r="BG332" s="21" t="n"/>
      <c r="BH332" s="22">
        <f>IFERROR(IF(AND(BF332&lt;&gt;"",BG332&lt;&gt;""),AVERAGE(BF332,BG332),""),"—")</f>
        <v/>
      </c>
      <c r="BK332" s="21" t="n"/>
      <c r="BM332" s="21" t="n"/>
      <c r="BN332" s="28">
        <f>IFERROR(IF(AND(BK332&lt;&gt;"",BM332&lt;&gt;""),IF(BM332&lt;BK332,1,0),""),"")</f>
        <v/>
      </c>
      <c r="BP332" s="21" t="n"/>
      <c r="BS332" s="29">
        <f>IFERROR(IF(AND(BH332&lt;&gt;"",BK332&lt;&gt;""),(BH332-BK332)/BK332,""),"—")</f>
        <v/>
      </c>
      <c r="BT332" s="29">
        <f>IFERROR(IF(AND(BH332&lt;&gt;"",BP332&lt;&gt;""),(BH332-BP332)/BP332,""),"—")</f>
        <v/>
      </c>
      <c r="BU332" s="29">
        <f>IFERROR(IF(AND(BK332&lt;&gt;"",BP332&lt;&gt;""),(BP332-BK332)/BK332,""),"—")</f>
        <v/>
      </c>
    </row>
    <row r="333">
      <c r="AK333" s="14">
        <f>IFERROR(IF(AND(AG333&lt;&gt;"",AH333&lt;&gt;""),AG333*AH333,IF(AI333&lt;&gt;"",AI333,IF(AJ333&lt;&gt;"",AJ333*43560,""))),"ERROR")</f>
        <v/>
      </c>
      <c r="AL333" s="15">
        <f>IFERROR(IF(AK333&lt;&gt;"",AK333/43560,""),"—")</f>
        <v/>
      </c>
      <c r="AN333" s="14">
        <f>IFERROR(IF(AL333="","",IF(AL333&lt;2,"Residential (&lt;2ac)",IF(AL333&lt;10,"Small Rural (2-10ac)",IF(AL333&lt;40,"Rural (10-40ac)",IF(AL333&lt;100,"Farm/Estate (40-100ac)","Large Farm (100+ac)"))))),"—")</f>
        <v/>
      </c>
      <c r="AZ333" s="21" t="n"/>
      <c r="BF333" s="21" t="n"/>
      <c r="BG333" s="21" t="n"/>
      <c r="BH333" s="22">
        <f>IFERROR(IF(AND(BF333&lt;&gt;"",BG333&lt;&gt;""),AVERAGE(BF333,BG333),""),"—")</f>
        <v/>
      </c>
      <c r="BK333" s="21" t="n"/>
      <c r="BM333" s="21" t="n"/>
      <c r="BN333" s="28">
        <f>IFERROR(IF(AND(BK333&lt;&gt;"",BM333&lt;&gt;""),IF(BM333&lt;BK333,1,0),""),"")</f>
        <v/>
      </c>
      <c r="BP333" s="21" t="n"/>
      <c r="BS333" s="29">
        <f>IFERROR(IF(AND(BH333&lt;&gt;"",BK333&lt;&gt;""),(BH333-BK333)/BK333,""),"—")</f>
        <v/>
      </c>
      <c r="BT333" s="29">
        <f>IFERROR(IF(AND(BH333&lt;&gt;"",BP333&lt;&gt;""),(BH333-BP333)/BP333,""),"—")</f>
        <v/>
      </c>
      <c r="BU333" s="29">
        <f>IFERROR(IF(AND(BK333&lt;&gt;"",BP333&lt;&gt;""),(BP333-BK333)/BK333,""),"—")</f>
        <v/>
      </c>
    </row>
    <row r="334">
      <c r="AK334" s="14">
        <f>IFERROR(IF(AND(AG334&lt;&gt;"",AH334&lt;&gt;""),AG334*AH334,IF(AI334&lt;&gt;"",AI334,IF(AJ334&lt;&gt;"",AJ334*43560,""))),"ERROR")</f>
        <v/>
      </c>
      <c r="AL334" s="15">
        <f>IFERROR(IF(AK334&lt;&gt;"",AK334/43560,""),"—")</f>
        <v/>
      </c>
      <c r="AN334" s="14">
        <f>IFERROR(IF(AL334="","",IF(AL334&lt;2,"Residential (&lt;2ac)",IF(AL334&lt;10,"Small Rural (2-10ac)",IF(AL334&lt;40,"Rural (10-40ac)",IF(AL334&lt;100,"Farm/Estate (40-100ac)","Large Farm (100+ac)"))))),"—")</f>
        <v/>
      </c>
      <c r="AZ334" s="21" t="n"/>
      <c r="BF334" s="21" t="n"/>
      <c r="BG334" s="21" t="n"/>
      <c r="BH334" s="22">
        <f>IFERROR(IF(AND(BF334&lt;&gt;"",BG334&lt;&gt;""),AVERAGE(BF334,BG334),""),"—")</f>
        <v/>
      </c>
      <c r="BK334" s="21" t="n"/>
      <c r="BM334" s="21" t="n"/>
      <c r="BN334" s="28">
        <f>IFERROR(IF(AND(BK334&lt;&gt;"",BM334&lt;&gt;""),IF(BM334&lt;BK334,1,0),""),"")</f>
        <v/>
      </c>
      <c r="BP334" s="21" t="n"/>
      <c r="BS334" s="29">
        <f>IFERROR(IF(AND(BH334&lt;&gt;"",BK334&lt;&gt;""),(BH334-BK334)/BK334,""),"—")</f>
        <v/>
      </c>
      <c r="BT334" s="29">
        <f>IFERROR(IF(AND(BH334&lt;&gt;"",BP334&lt;&gt;""),(BH334-BP334)/BP334,""),"—")</f>
        <v/>
      </c>
      <c r="BU334" s="29">
        <f>IFERROR(IF(AND(BK334&lt;&gt;"",BP334&lt;&gt;""),(BP334-BK334)/BK334,""),"—")</f>
        <v/>
      </c>
    </row>
    <row r="335">
      <c r="AK335" s="14">
        <f>IFERROR(IF(AND(AG335&lt;&gt;"",AH335&lt;&gt;""),AG335*AH335,IF(AI335&lt;&gt;"",AI335,IF(AJ335&lt;&gt;"",AJ335*43560,""))),"ERROR")</f>
        <v/>
      </c>
      <c r="AL335" s="15">
        <f>IFERROR(IF(AK335&lt;&gt;"",AK335/43560,""),"—")</f>
        <v/>
      </c>
      <c r="AN335" s="14">
        <f>IFERROR(IF(AL335="","",IF(AL335&lt;2,"Residential (&lt;2ac)",IF(AL335&lt;10,"Small Rural (2-10ac)",IF(AL335&lt;40,"Rural (10-40ac)",IF(AL335&lt;100,"Farm/Estate (40-100ac)","Large Farm (100+ac)"))))),"—")</f>
        <v/>
      </c>
      <c r="AZ335" s="21" t="n"/>
      <c r="BF335" s="21" t="n"/>
      <c r="BG335" s="21" t="n"/>
      <c r="BH335" s="22">
        <f>IFERROR(IF(AND(BF335&lt;&gt;"",BG335&lt;&gt;""),AVERAGE(BF335,BG335),""),"—")</f>
        <v/>
      </c>
      <c r="BK335" s="21" t="n"/>
      <c r="BM335" s="21" t="n"/>
      <c r="BN335" s="28">
        <f>IFERROR(IF(AND(BK335&lt;&gt;"",BM335&lt;&gt;""),IF(BM335&lt;BK335,1,0),""),"")</f>
        <v/>
      </c>
      <c r="BP335" s="21" t="n"/>
      <c r="BS335" s="29">
        <f>IFERROR(IF(AND(BH335&lt;&gt;"",BK335&lt;&gt;""),(BH335-BK335)/BK335,""),"—")</f>
        <v/>
      </c>
      <c r="BT335" s="29">
        <f>IFERROR(IF(AND(BH335&lt;&gt;"",BP335&lt;&gt;""),(BH335-BP335)/BP335,""),"—")</f>
        <v/>
      </c>
      <c r="BU335" s="29">
        <f>IFERROR(IF(AND(BK335&lt;&gt;"",BP335&lt;&gt;""),(BP335-BK335)/BK335,""),"—")</f>
        <v/>
      </c>
    </row>
    <row r="336">
      <c r="AK336" s="14">
        <f>IFERROR(IF(AND(AG336&lt;&gt;"",AH336&lt;&gt;""),AG336*AH336,IF(AI336&lt;&gt;"",AI336,IF(AJ336&lt;&gt;"",AJ336*43560,""))),"ERROR")</f>
        <v/>
      </c>
      <c r="AL336" s="15">
        <f>IFERROR(IF(AK336&lt;&gt;"",AK336/43560,""),"—")</f>
        <v/>
      </c>
      <c r="AN336" s="14">
        <f>IFERROR(IF(AL336="","",IF(AL336&lt;2,"Residential (&lt;2ac)",IF(AL336&lt;10,"Small Rural (2-10ac)",IF(AL336&lt;40,"Rural (10-40ac)",IF(AL336&lt;100,"Farm/Estate (40-100ac)","Large Farm (100+ac)"))))),"—")</f>
        <v/>
      </c>
      <c r="AZ336" s="21" t="n"/>
      <c r="BF336" s="21" t="n"/>
      <c r="BG336" s="21" t="n"/>
      <c r="BH336" s="22">
        <f>IFERROR(IF(AND(BF336&lt;&gt;"",BG336&lt;&gt;""),AVERAGE(BF336,BG336),""),"—")</f>
        <v/>
      </c>
      <c r="BK336" s="21" t="n"/>
      <c r="BM336" s="21" t="n"/>
      <c r="BN336" s="28">
        <f>IFERROR(IF(AND(BK336&lt;&gt;"",BM336&lt;&gt;""),IF(BM336&lt;BK336,1,0),""),"")</f>
        <v/>
      </c>
      <c r="BP336" s="21" t="n"/>
      <c r="BS336" s="29">
        <f>IFERROR(IF(AND(BH336&lt;&gt;"",BK336&lt;&gt;""),(BH336-BK336)/BK336,""),"—")</f>
        <v/>
      </c>
      <c r="BT336" s="29">
        <f>IFERROR(IF(AND(BH336&lt;&gt;"",BP336&lt;&gt;""),(BH336-BP336)/BP336,""),"—")</f>
        <v/>
      </c>
      <c r="BU336" s="29">
        <f>IFERROR(IF(AND(BK336&lt;&gt;"",BP336&lt;&gt;""),(BP336-BK336)/BK336,""),"—")</f>
        <v/>
      </c>
    </row>
    <row r="337">
      <c r="AK337" s="14">
        <f>IFERROR(IF(AND(AG337&lt;&gt;"",AH337&lt;&gt;""),AG337*AH337,IF(AI337&lt;&gt;"",AI337,IF(AJ337&lt;&gt;"",AJ337*43560,""))),"ERROR")</f>
        <v/>
      </c>
      <c r="AL337" s="15">
        <f>IFERROR(IF(AK337&lt;&gt;"",AK337/43560,""),"—")</f>
        <v/>
      </c>
      <c r="AN337" s="14">
        <f>IFERROR(IF(AL337="","",IF(AL337&lt;2,"Residential (&lt;2ac)",IF(AL337&lt;10,"Small Rural (2-10ac)",IF(AL337&lt;40,"Rural (10-40ac)",IF(AL337&lt;100,"Farm/Estate (40-100ac)","Large Farm (100+ac)"))))),"—")</f>
        <v/>
      </c>
      <c r="AZ337" s="21" t="n"/>
      <c r="BF337" s="21" t="n"/>
      <c r="BG337" s="21" t="n"/>
      <c r="BH337" s="22">
        <f>IFERROR(IF(AND(BF337&lt;&gt;"",BG337&lt;&gt;""),AVERAGE(BF337,BG337),""),"—")</f>
        <v/>
      </c>
      <c r="BK337" s="21" t="n"/>
      <c r="BM337" s="21" t="n"/>
      <c r="BN337" s="28">
        <f>IFERROR(IF(AND(BK337&lt;&gt;"",BM337&lt;&gt;""),IF(BM337&lt;BK337,1,0),""),"")</f>
        <v/>
      </c>
      <c r="BP337" s="21" t="n"/>
      <c r="BS337" s="29">
        <f>IFERROR(IF(AND(BH337&lt;&gt;"",BK337&lt;&gt;""),(BH337-BK337)/BK337,""),"—")</f>
        <v/>
      </c>
      <c r="BT337" s="29">
        <f>IFERROR(IF(AND(BH337&lt;&gt;"",BP337&lt;&gt;""),(BH337-BP337)/BP337,""),"—")</f>
        <v/>
      </c>
      <c r="BU337" s="29">
        <f>IFERROR(IF(AND(BK337&lt;&gt;"",BP337&lt;&gt;""),(BP337-BK337)/BK337,""),"—")</f>
        <v/>
      </c>
    </row>
    <row r="338">
      <c r="AK338" s="14">
        <f>IFERROR(IF(AND(AG338&lt;&gt;"",AH338&lt;&gt;""),AG338*AH338,IF(AI338&lt;&gt;"",AI338,IF(AJ338&lt;&gt;"",AJ338*43560,""))),"ERROR")</f>
        <v/>
      </c>
      <c r="AL338" s="15">
        <f>IFERROR(IF(AK338&lt;&gt;"",AK338/43560,""),"—")</f>
        <v/>
      </c>
      <c r="AN338" s="14">
        <f>IFERROR(IF(AL338="","",IF(AL338&lt;2,"Residential (&lt;2ac)",IF(AL338&lt;10,"Small Rural (2-10ac)",IF(AL338&lt;40,"Rural (10-40ac)",IF(AL338&lt;100,"Farm/Estate (40-100ac)","Large Farm (100+ac)"))))),"—")</f>
        <v/>
      </c>
      <c r="AZ338" s="21" t="n"/>
      <c r="BF338" s="21" t="n"/>
      <c r="BG338" s="21" t="n"/>
      <c r="BH338" s="22">
        <f>IFERROR(IF(AND(BF338&lt;&gt;"",BG338&lt;&gt;""),AVERAGE(BF338,BG338),""),"—")</f>
        <v/>
      </c>
      <c r="BK338" s="21" t="n"/>
      <c r="BM338" s="21" t="n"/>
      <c r="BN338" s="28">
        <f>IFERROR(IF(AND(BK338&lt;&gt;"",BM338&lt;&gt;""),IF(BM338&lt;BK338,1,0),""),"")</f>
        <v/>
      </c>
      <c r="BP338" s="21" t="n"/>
      <c r="BS338" s="29">
        <f>IFERROR(IF(AND(BH338&lt;&gt;"",BK338&lt;&gt;""),(BH338-BK338)/BK338,""),"—")</f>
        <v/>
      </c>
      <c r="BT338" s="29">
        <f>IFERROR(IF(AND(BH338&lt;&gt;"",BP338&lt;&gt;""),(BH338-BP338)/BP338,""),"—")</f>
        <v/>
      </c>
      <c r="BU338" s="29">
        <f>IFERROR(IF(AND(BK338&lt;&gt;"",BP338&lt;&gt;""),(BP338-BK338)/BK338,""),"—")</f>
        <v/>
      </c>
    </row>
    <row r="339">
      <c r="AK339" s="14">
        <f>IFERROR(IF(AND(AG339&lt;&gt;"",AH339&lt;&gt;""),AG339*AH339,IF(AI339&lt;&gt;"",AI339,IF(AJ339&lt;&gt;"",AJ339*43560,""))),"ERROR")</f>
        <v/>
      </c>
      <c r="AL339" s="15">
        <f>IFERROR(IF(AK339&lt;&gt;"",AK339/43560,""),"—")</f>
        <v/>
      </c>
      <c r="AN339" s="14">
        <f>IFERROR(IF(AL339="","",IF(AL339&lt;2,"Residential (&lt;2ac)",IF(AL339&lt;10,"Small Rural (2-10ac)",IF(AL339&lt;40,"Rural (10-40ac)",IF(AL339&lt;100,"Farm/Estate (40-100ac)","Large Farm (100+ac)"))))),"—")</f>
        <v/>
      </c>
      <c r="AZ339" s="21" t="n"/>
      <c r="BF339" s="21" t="n"/>
      <c r="BG339" s="21" t="n"/>
      <c r="BH339" s="22">
        <f>IFERROR(IF(AND(BF339&lt;&gt;"",BG339&lt;&gt;""),AVERAGE(BF339,BG339),""),"—")</f>
        <v/>
      </c>
      <c r="BK339" s="21" t="n"/>
      <c r="BM339" s="21" t="n"/>
      <c r="BN339" s="28">
        <f>IFERROR(IF(AND(BK339&lt;&gt;"",BM339&lt;&gt;""),IF(BM339&lt;BK339,1,0),""),"")</f>
        <v/>
      </c>
      <c r="BP339" s="21" t="n"/>
      <c r="BS339" s="29">
        <f>IFERROR(IF(AND(BH339&lt;&gt;"",BK339&lt;&gt;""),(BH339-BK339)/BK339,""),"—")</f>
        <v/>
      </c>
      <c r="BT339" s="29">
        <f>IFERROR(IF(AND(BH339&lt;&gt;"",BP339&lt;&gt;""),(BH339-BP339)/BP339,""),"—")</f>
        <v/>
      </c>
      <c r="BU339" s="29">
        <f>IFERROR(IF(AND(BK339&lt;&gt;"",BP339&lt;&gt;""),(BP339-BK339)/BK339,""),"—")</f>
        <v/>
      </c>
    </row>
    <row r="340">
      <c r="AK340" s="14">
        <f>IFERROR(IF(AND(AG340&lt;&gt;"",AH340&lt;&gt;""),AG340*AH340,IF(AI340&lt;&gt;"",AI340,IF(AJ340&lt;&gt;"",AJ340*43560,""))),"ERROR")</f>
        <v/>
      </c>
      <c r="AL340" s="15">
        <f>IFERROR(IF(AK340&lt;&gt;"",AK340/43560,""),"—")</f>
        <v/>
      </c>
      <c r="AN340" s="14">
        <f>IFERROR(IF(AL340="","",IF(AL340&lt;2,"Residential (&lt;2ac)",IF(AL340&lt;10,"Small Rural (2-10ac)",IF(AL340&lt;40,"Rural (10-40ac)",IF(AL340&lt;100,"Farm/Estate (40-100ac)","Large Farm (100+ac)"))))),"—")</f>
        <v/>
      </c>
      <c r="AZ340" s="21" t="n"/>
      <c r="BF340" s="21" t="n"/>
      <c r="BG340" s="21" t="n"/>
      <c r="BH340" s="22">
        <f>IFERROR(IF(AND(BF340&lt;&gt;"",BG340&lt;&gt;""),AVERAGE(BF340,BG340),""),"—")</f>
        <v/>
      </c>
      <c r="BK340" s="21" t="n"/>
      <c r="BM340" s="21" t="n"/>
      <c r="BN340" s="28">
        <f>IFERROR(IF(AND(BK340&lt;&gt;"",BM340&lt;&gt;""),IF(BM340&lt;BK340,1,0),""),"")</f>
        <v/>
      </c>
      <c r="BP340" s="21" t="n"/>
      <c r="BS340" s="29">
        <f>IFERROR(IF(AND(BH340&lt;&gt;"",BK340&lt;&gt;""),(BH340-BK340)/BK340,""),"—")</f>
        <v/>
      </c>
      <c r="BT340" s="29">
        <f>IFERROR(IF(AND(BH340&lt;&gt;"",BP340&lt;&gt;""),(BH340-BP340)/BP340,""),"—")</f>
        <v/>
      </c>
      <c r="BU340" s="29">
        <f>IFERROR(IF(AND(BK340&lt;&gt;"",BP340&lt;&gt;""),(BP340-BK340)/BK340,""),"—")</f>
        <v/>
      </c>
    </row>
    <row r="341">
      <c r="AK341" s="14">
        <f>IFERROR(IF(AND(AG341&lt;&gt;"",AH341&lt;&gt;""),AG341*AH341,IF(AI341&lt;&gt;"",AI341,IF(AJ341&lt;&gt;"",AJ341*43560,""))),"ERROR")</f>
        <v/>
      </c>
      <c r="AL341" s="15">
        <f>IFERROR(IF(AK341&lt;&gt;"",AK341/43560,""),"—")</f>
        <v/>
      </c>
      <c r="AN341" s="14">
        <f>IFERROR(IF(AL341="","",IF(AL341&lt;2,"Residential (&lt;2ac)",IF(AL341&lt;10,"Small Rural (2-10ac)",IF(AL341&lt;40,"Rural (10-40ac)",IF(AL341&lt;100,"Farm/Estate (40-100ac)","Large Farm (100+ac)"))))),"—")</f>
        <v/>
      </c>
      <c r="AZ341" s="21" t="n"/>
      <c r="BF341" s="21" t="n"/>
      <c r="BG341" s="21" t="n"/>
      <c r="BH341" s="22">
        <f>IFERROR(IF(AND(BF341&lt;&gt;"",BG341&lt;&gt;""),AVERAGE(BF341,BG341),""),"—")</f>
        <v/>
      </c>
      <c r="BK341" s="21" t="n"/>
      <c r="BM341" s="21" t="n"/>
      <c r="BN341" s="28">
        <f>IFERROR(IF(AND(BK341&lt;&gt;"",BM341&lt;&gt;""),IF(BM341&lt;BK341,1,0),""),"")</f>
        <v/>
      </c>
      <c r="BP341" s="21" t="n"/>
      <c r="BS341" s="29">
        <f>IFERROR(IF(AND(BH341&lt;&gt;"",BK341&lt;&gt;""),(BH341-BK341)/BK341,""),"—")</f>
        <v/>
      </c>
      <c r="BT341" s="29">
        <f>IFERROR(IF(AND(BH341&lt;&gt;"",BP341&lt;&gt;""),(BH341-BP341)/BP341,""),"—")</f>
        <v/>
      </c>
      <c r="BU341" s="29">
        <f>IFERROR(IF(AND(BK341&lt;&gt;"",BP341&lt;&gt;""),(BP341-BK341)/BK341,""),"—")</f>
        <v/>
      </c>
    </row>
    <row r="342">
      <c r="AK342" s="14">
        <f>IFERROR(IF(AND(AG342&lt;&gt;"",AH342&lt;&gt;""),AG342*AH342,IF(AI342&lt;&gt;"",AI342,IF(AJ342&lt;&gt;"",AJ342*43560,""))),"ERROR")</f>
        <v/>
      </c>
      <c r="AL342" s="15">
        <f>IFERROR(IF(AK342&lt;&gt;"",AK342/43560,""),"—")</f>
        <v/>
      </c>
      <c r="AN342" s="14">
        <f>IFERROR(IF(AL342="","",IF(AL342&lt;2,"Residential (&lt;2ac)",IF(AL342&lt;10,"Small Rural (2-10ac)",IF(AL342&lt;40,"Rural (10-40ac)",IF(AL342&lt;100,"Farm/Estate (40-100ac)","Large Farm (100+ac)"))))),"—")</f>
        <v/>
      </c>
      <c r="AZ342" s="21" t="n"/>
      <c r="BF342" s="21" t="n"/>
      <c r="BG342" s="21" t="n"/>
      <c r="BH342" s="22">
        <f>IFERROR(IF(AND(BF342&lt;&gt;"",BG342&lt;&gt;""),AVERAGE(BF342,BG342),""),"—")</f>
        <v/>
      </c>
      <c r="BK342" s="21" t="n"/>
      <c r="BM342" s="21" t="n"/>
      <c r="BN342" s="28">
        <f>IFERROR(IF(AND(BK342&lt;&gt;"",BM342&lt;&gt;""),IF(BM342&lt;BK342,1,0),""),"")</f>
        <v/>
      </c>
      <c r="BP342" s="21" t="n"/>
      <c r="BS342" s="29">
        <f>IFERROR(IF(AND(BH342&lt;&gt;"",BK342&lt;&gt;""),(BH342-BK342)/BK342,""),"—")</f>
        <v/>
      </c>
      <c r="BT342" s="29">
        <f>IFERROR(IF(AND(BH342&lt;&gt;"",BP342&lt;&gt;""),(BH342-BP342)/BP342,""),"—")</f>
        <v/>
      </c>
      <c r="BU342" s="29">
        <f>IFERROR(IF(AND(BK342&lt;&gt;"",BP342&lt;&gt;""),(BP342-BK342)/BK342,""),"—")</f>
        <v/>
      </c>
    </row>
    <row r="343">
      <c r="AK343" s="14">
        <f>IFERROR(IF(AND(AG343&lt;&gt;"",AH343&lt;&gt;""),AG343*AH343,IF(AI343&lt;&gt;"",AI343,IF(AJ343&lt;&gt;"",AJ343*43560,""))),"ERROR")</f>
        <v/>
      </c>
      <c r="AL343" s="15">
        <f>IFERROR(IF(AK343&lt;&gt;"",AK343/43560,""),"—")</f>
        <v/>
      </c>
      <c r="AN343" s="14">
        <f>IFERROR(IF(AL343="","",IF(AL343&lt;2,"Residential (&lt;2ac)",IF(AL343&lt;10,"Small Rural (2-10ac)",IF(AL343&lt;40,"Rural (10-40ac)",IF(AL343&lt;100,"Farm/Estate (40-100ac)","Large Farm (100+ac)"))))),"—")</f>
        <v/>
      </c>
      <c r="AZ343" s="21" t="n"/>
      <c r="BF343" s="21" t="n"/>
      <c r="BG343" s="21" t="n"/>
      <c r="BH343" s="22">
        <f>IFERROR(IF(AND(BF343&lt;&gt;"",BG343&lt;&gt;""),AVERAGE(BF343,BG343),""),"—")</f>
        <v/>
      </c>
      <c r="BK343" s="21" t="n"/>
      <c r="BM343" s="21" t="n"/>
      <c r="BN343" s="28">
        <f>IFERROR(IF(AND(BK343&lt;&gt;"",BM343&lt;&gt;""),IF(BM343&lt;BK343,1,0),""),"")</f>
        <v/>
      </c>
      <c r="BP343" s="21" t="n"/>
      <c r="BS343" s="29">
        <f>IFERROR(IF(AND(BH343&lt;&gt;"",BK343&lt;&gt;""),(BH343-BK343)/BK343,""),"—")</f>
        <v/>
      </c>
      <c r="BT343" s="29">
        <f>IFERROR(IF(AND(BH343&lt;&gt;"",BP343&lt;&gt;""),(BH343-BP343)/BP343,""),"—")</f>
        <v/>
      </c>
      <c r="BU343" s="29">
        <f>IFERROR(IF(AND(BK343&lt;&gt;"",BP343&lt;&gt;""),(BP343-BK343)/BK343,""),"—")</f>
        <v/>
      </c>
    </row>
    <row r="344">
      <c r="AK344" s="14">
        <f>IFERROR(IF(AND(AG344&lt;&gt;"",AH344&lt;&gt;""),AG344*AH344,IF(AI344&lt;&gt;"",AI344,IF(AJ344&lt;&gt;"",AJ344*43560,""))),"ERROR")</f>
        <v/>
      </c>
      <c r="AL344" s="15">
        <f>IFERROR(IF(AK344&lt;&gt;"",AK344/43560,""),"—")</f>
        <v/>
      </c>
      <c r="AN344" s="14">
        <f>IFERROR(IF(AL344="","",IF(AL344&lt;2,"Residential (&lt;2ac)",IF(AL344&lt;10,"Small Rural (2-10ac)",IF(AL344&lt;40,"Rural (10-40ac)",IF(AL344&lt;100,"Farm/Estate (40-100ac)","Large Farm (100+ac)"))))),"—")</f>
        <v/>
      </c>
      <c r="AZ344" s="21" t="n"/>
      <c r="BF344" s="21" t="n"/>
      <c r="BG344" s="21" t="n"/>
      <c r="BH344" s="22">
        <f>IFERROR(IF(AND(BF344&lt;&gt;"",BG344&lt;&gt;""),AVERAGE(BF344,BG344),""),"—")</f>
        <v/>
      </c>
      <c r="BK344" s="21" t="n"/>
      <c r="BM344" s="21" t="n"/>
      <c r="BN344" s="28">
        <f>IFERROR(IF(AND(BK344&lt;&gt;"",BM344&lt;&gt;""),IF(BM344&lt;BK344,1,0),""),"")</f>
        <v/>
      </c>
      <c r="BP344" s="21" t="n"/>
      <c r="BS344" s="29">
        <f>IFERROR(IF(AND(BH344&lt;&gt;"",BK344&lt;&gt;""),(BH344-BK344)/BK344,""),"—")</f>
        <v/>
      </c>
      <c r="BT344" s="29">
        <f>IFERROR(IF(AND(BH344&lt;&gt;"",BP344&lt;&gt;""),(BH344-BP344)/BP344,""),"—")</f>
        <v/>
      </c>
      <c r="BU344" s="29">
        <f>IFERROR(IF(AND(BK344&lt;&gt;"",BP344&lt;&gt;""),(BP344-BK344)/BK344,""),"—")</f>
        <v/>
      </c>
    </row>
    <row r="345">
      <c r="AK345" s="14">
        <f>IFERROR(IF(AND(AG345&lt;&gt;"",AH345&lt;&gt;""),AG345*AH345,IF(AI345&lt;&gt;"",AI345,IF(AJ345&lt;&gt;"",AJ345*43560,""))),"ERROR")</f>
        <v/>
      </c>
      <c r="AL345" s="15">
        <f>IFERROR(IF(AK345&lt;&gt;"",AK345/43560,""),"—")</f>
        <v/>
      </c>
      <c r="AN345" s="14">
        <f>IFERROR(IF(AL345="","",IF(AL345&lt;2,"Residential (&lt;2ac)",IF(AL345&lt;10,"Small Rural (2-10ac)",IF(AL345&lt;40,"Rural (10-40ac)",IF(AL345&lt;100,"Farm/Estate (40-100ac)","Large Farm (100+ac)"))))),"—")</f>
        <v/>
      </c>
      <c r="AZ345" s="21" t="n"/>
      <c r="BF345" s="21" t="n"/>
      <c r="BG345" s="21" t="n"/>
      <c r="BH345" s="22">
        <f>IFERROR(IF(AND(BF345&lt;&gt;"",BG345&lt;&gt;""),AVERAGE(BF345,BG345),""),"—")</f>
        <v/>
      </c>
      <c r="BK345" s="21" t="n"/>
      <c r="BM345" s="21" t="n"/>
      <c r="BN345" s="28">
        <f>IFERROR(IF(AND(BK345&lt;&gt;"",BM345&lt;&gt;""),IF(BM345&lt;BK345,1,0),""),"")</f>
        <v/>
      </c>
      <c r="BP345" s="21" t="n"/>
      <c r="BS345" s="29">
        <f>IFERROR(IF(AND(BH345&lt;&gt;"",BK345&lt;&gt;""),(BH345-BK345)/BK345,""),"—")</f>
        <v/>
      </c>
      <c r="BT345" s="29">
        <f>IFERROR(IF(AND(BH345&lt;&gt;"",BP345&lt;&gt;""),(BH345-BP345)/BP345,""),"—")</f>
        <v/>
      </c>
      <c r="BU345" s="29">
        <f>IFERROR(IF(AND(BK345&lt;&gt;"",BP345&lt;&gt;""),(BP345-BK345)/BK345,""),"—")</f>
        <v/>
      </c>
    </row>
    <row r="346">
      <c r="AK346" s="14">
        <f>IFERROR(IF(AND(AG346&lt;&gt;"",AH346&lt;&gt;""),AG346*AH346,IF(AI346&lt;&gt;"",AI346,IF(AJ346&lt;&gt;"",AJ346*43560,""))),"ERROR")</f>
        <v/>
      </c>
      <c r="AL346" s="15">
        <f>IFERROR(IF(AK346&lt;&gt;"",AK346/43560,""),"—")</f>
        <v/>
      </c>
      <c r="AN346" s="14">
        <f>IFERROR(IF(AL346="","",IF(AL346&lt;2,"Residential (&lt;2ac)",IF(AL346&lt;10,"Small Rural (2-10ac)",IF(AL346&lt;40,"Rural (10-40ac)",IF(AL346&lt;100,"Farm/Estate (40-100ac)","Large Farm (100+ac)"))))),"—")</f>
        <v/>
      </c>
      <c r="AZ346" s="21" t="n"/>
      <c r="BF346" s="21" t="n"/>
      <c r="BG346" s="21" t="n"/>
      <c r="BH346" s="22">
        <f>IFERROR(IF(AND(BF346&lt;&gt;"",BG346&lt;&gt;""),AVERAGE(BF346,BG346),""),"—")</f>
        <v/>
      </c>
      <c r="BK346" s="21" t="n"/>
      <c r="BM346" s="21" t="n"/>
      <c r="BN346" s="28">
        <f>IFERROR(IF(AND(BK346&lt;&gt;"",BM346&lt;&gt;""),IF(BM346&lt;BK346,1,0),""),"")</f>
        <v/>
      </c>
      <c r="BP346" s="21" t="n"/>
      <c r="BS346" s="29">
        <f>IFERROR(IF(AND(BH346&lt;&gt;"",BK346&lt;&gt;""),(BH346-BK346)/BK346,""),"—")</f>
        <v/>
      </c>
      <c r="BT346" s="29">
        <f>IFERROR(IF(AND(BH346&lt;&gt;"",BP346&lt;&gt;""),(BH346-BP346)/BP346,""),"—")</f>
        <v/>
      </c>
      <c r="BU346" s="29">
        <f>IFERROR(IF(AND(BK346&lt;&gt;"",BP346&lt;&gt;""),(BP346-BK346)/BK346,""),"—")</f>
        <v/>
      </c>
    </row>
    <row r="347">
      <c r="AK347" s="14">
        <f>IFERROR(IF(AND(AG347&lt;&gt;"",AH347&lt;&gt;""),AG347*AH347,IF(AI347&lt;&gt;"",AI347,IF(AJ347&lt;&gt;"",AJ347*43560,""))),"ERROR")</f>
        <v/>
      </c>
      <c r="AL347" s="15">
        <f>IFERROR(IF(AK347&lt;&gt;"",AK347/43560,""),"—")</f>
        <v/>
      </c>
      <c r="AN347" s="14">
        <f>IFERROR(IF(AL347="","",IF(AL347&lt;2,"Residential (&lt;2ac)",IF(AL347&lt;10,"Small Rural (2-10ac)",IF(AL347&lt;40,"Rural (10-40ac)",IF(AL347&lt;100,"Farm/Estate (40-100ac)","Large Farm (100+ac)"))))),"—")</f>
        <v/>
      </c>
      <c r="AZ347" s="21" t="n"/>
      <c r="BF347" s="21" t="n"/>
      <c r="BG347" s="21" t="n"/>
      <c r="BH347" s="22">
        <f>IFERROR(IF(AND(BF347&lt;&gt;"",BG347&lt;&gt;""),AVERAGE(BF347,BG347),""),"—")</f>
        <v/>
      </c>
      <c r="BK347" s="21" t="n"/>
      <c r="BM347" s="21" t="n"/>
      <c r="BN347" s="28">
        <f>IFERROR(IF(AND(BK347&lt;&gt;"",BM347&lt;&gt;""),IF(BM347&lt;BK347,1,0),""),"")</f>
        <v/>
      </c>
      <c r="BP347" s="21" t="n"/>
      <c r="BS347" s="29">
        <f>IFERROR(IF(AND(BH347&lt;&gt;"",BK347&lt;&gt;""),(BH347-BK347)/BK347,""),"—")</f>
        <v/>
      </c>
      <c r="BT347" s="29">
        <f>IFERROR(IF(AND(BH347&lt;&gt;"",BP347&lt;&gt;""),(BH347-BP347)/BP347,""),"—")</f>
        <v/>
      </c>
      <c r="BU347" s="29">
        <f>IFERROR(IF(AND(BK347&lt;&gt;"",BP347&lt;&gt;""),(BP347-BK347)/BK347,""),"—")</f>
        <v/>
      </c>
    </row>
    <row r="348">
      <c r="AK348" s="14">
        <f>IFERROR(IF(AND(AG348&lt;&gt;"",AH348&lt;&gt;""),AG348*AH348,IF(AI348&lt;&gt;"",AI348,IF(AJ348&lt;&gt;"",AJ348*43560,""))),"ERROR")</f>
        <v/>
      </c>
      <c r="AL348" s="15">
        <f>IFERROR(IF(AK348&lt;&gt;"",AK348/43560,""),"—")</f>
        <v/>
      </c>
      <c r="AN348" s="14">
        <f>IFERROR(IF(AL348="","",IF(AL348&lt;2,"Residential (&lt;2ac)",IF(AL348&lt;10,"Small Rural (2-10ac)",IF(AL348&lt;40,"Rural (10-40ac)",IF(AL348&lt;100,"Farm/Estate (40-100ac)","Large Farm (100+ac)"))))),"—")</f>
        <v/>
      </c>
      <c r="AZ348" s="21" t="n"/>
      <c r="BF348" s="21" t="n"/>
      <c r="BG348" s="21" t="n"/>
      <c r="BH348" s="22">
        <f>IFERROR(IF(AND(BF348&lt;&gt;"",BG348&lt;&gt;""),AVERAGE(BF348,BG348),""),"—")</f>
        <v/>
      </c>
      <c r="BK348" s="21" t="n"/>
      <c r="BM348" s="21" t="n"/>
      <c r="BN348" s="28">
        <f>IFERROR(IF(AND(BK348&lt;&gt;"",BM348&lt;&gt;""),IF(BM348&lt;BK348,1,0),""),"")</f>
        <v/>
      </c>
      <c r="BP348" s="21" t="n"/>
      <c r="BS348" s="29">
        <f>IFERROR(IF(AND(BH348&lt;&gt;"",BK348&lt;&gt;""),(BH348-BK348)/BK348,""),"—")</f>
        <v/>
      </c>
      <c r="BT348" s="29">
        <f>IFERROR(IF(AND(BH348&lt;&gt;"",BP348&lt;&gt;""),(BH348-BP348)/BP348,""),"—")</f>
        <v/>
      </c>
      <c r="BU348" s="29">
        <f>IFERROR(IF(AND(BK348&lt;&gt;"",BP348&lt;&gt;""),(BP348-BK348)/BK348,""),"—")</f>
        <v/>
      </c>
    </row>
    <row r="349">
      <c r="AK349" s="14">
        <f>IFERROR(IF(AND(AG349&lt;&gt;"",AH349&lt;&gt;""),AG349*AH349,IF(AI349&lt;&gt;"",AI349,IF(AJ349&lt;&gt;"",AJ349*43560,""))),"ERROR")</f>
        <v/>
      </c>
      <c r="AL349" s="15">
        <f>IFERROR(IF(AK349&lt;&gt;"",AK349/43560,""),"—")</f>
        <v/>
      </c>
      <c r="AN349" s="14">
        <f>IFERROR(IF(AL349="","",IF(AL349&lt;2,"Residential (&lt;2ac)",IF(AL349&lt;10,"Small Rural (2-10ac)",IF(AL349&lt;40,"Rural (10-40ac)",IF(AL349&lt;100,"Farm/Estate (40-100ac)","Large Farm (100+ac)"))))),"—")</f>
        <v/>
      </c>
      <c r="AZ349" s="21" t="n"/>
      <c r="BF349" s="21" t="n"/>
      <c r="BG349" s="21" t="n"/>
      <c r="BH349" s="22">
        <f>IFERROR(IF(AND(BF349&lt;&gt;"",BG349&lt;&gt;""),AVERAGE(BF349,BG349),""),"—")</f>
        <v/>
      </c>
      <c r="BK349" s="21" t="n"/>
      <c r="BM349" s="21" t="n"/>
      <c r="BN349" s="28">
        <f>IFERROR(IF(AND(BK349&lt;&gt;"",BM349&lt;&gt;""),IF(BM349&lt;BK349,1,0),""),"")</f>
        <v/>
      </c>
      <c r="BP349" s="21" t="n"/>
      <c r="BS349" s="29">
        <f>IFERROR(IF(AND(BH349&lt;&gt;"",BK349&lt;&gt;""),(BH349-BK349)/BK349,""),"—")</f>
        <v/>
      </c>
      <c r="BT349" s="29">
        <f>IFERROR(IF(AND(BH349&lt;&gt;"",BP349&lt;&gt;""),(BH349-BP349)/BP349,""),"—")</f>
        <v/>
      </c>
      <c r="BU349" s="29">
        <f>IFERROR(IF(AND(BK349&lt;&gt;"",BP349&lt;&gt;""),(BP349-BK349)/BK349,""),"—")</f>
        <v/>
      </c>
    </row>
    <row r="350">
      <c r="AK350" s="14">
        <f>IFERROR(IF(AND(AG350&lt;&gt;"",AH350&lt;&gt;""),AG350*AH350,IF(AI350&lt;&gt;"",AI350,IF(AJ350&lt;&gt;"",AJ350*43560,""))),"ERROR")</f>
        <v/>
      </c>
      <c r="AL350" s="15">
        <f>IFERROR(IF(AK350&lt;&gt;"",AK350/43560,""),"—")</f>
        <v/>
      </c>
      <c r="AN350" s="14">
        <f>IFERROR(IF(AL350="","",IF(AL350&lt;2,"Residential (&lt;2ac)",IF(AL350&lt;10,"Small Rural (2-10ac)",IF(AL350&lt;40,"Rural (10-40ac)",IF(AL350&lt;100,"Farm/Estate (40-100ac)","Large Farm (100+ac)"))))),"—")</f>
        <v/>
      </c>
      <c r="AZ350" s="21" t="n"/>
      <c r="BF350" s="21" t="n"/>
      <c r="BG350" s="21" t="n"/>
      <c r="BH350" s="22">
        <f>IFERROR(IF(AND(BF350&lt;&gt;"",BG350&lt;&gt;""),AVERAGE(BF350,BG350),""),"—")</f>
        <v/>
      </c>
      <c r="BK350" s="21" t="n"/>
      <c r="BM350" s="21" t="n"/>
      <c r="BN350" s="28">
        <f>IFERROR(IF(AND(BK350&lt;&gt;"",BM350&lt;&gt;""),IF(BM350&lt;BK350,1,0),""),"")</f>
        <v/>
      </c>
      <c r="BP350" s="21" t="n"/>
      <c r="BS350" s="29">
        <f>IFERROR(IF(AND(BH350&lt;&gt;"",BK350&lt;&gt;""),(BH350-BK350)/BK350,""),"—")</f>
        <v/>
      </c>
      <c r="BT350" s="29">
        <f>IFERROR(IF(AND(BH350&lt;&gt;"",BP350&lt;&gt;""),(BH350-BP350)/BP350,""),"—")</f>
        <v/>
      </c>
      <c r="BU350" s="29">
        <f>IFERROR(IF(AND(BK350&lt;&gt;"",BP350&lt;&gt;""),(BP350-BK350)/BK350,""),"—")</f>
        <v/>
      </c>
    </row>
    <row r="351">
      <c r="AK351" s="14">
        <f>IFERROR(IF(AND(AG351&lt;&gt;"",AH351&lt;&gt;""),AG351*AH351,IF(AI351&lt;&gt;"",AI351,IF(AJ351&lt;&gt;"",AJ351*43560,""))),"ERROR")</f>
        <v/>
      </c>
      <c r="AL351" s="15">
        <f>IFERROR(IF(AK351&lt;&gt;"",AK351/43560,""),"—")</f>
        <v/>
      </c>
      <c r="AN351" s="14">
        <f>IFERROR(IF(AL351="","",IF(AL351&lt;2,"Residential (&lt;2ac)",IF(AL351&lt;10,"Small Rural (2-10ac)",IF(AL351&lt;40,"Rural (10-40ac)",IF(AL351&lt;100,"Farm/Estate (40-100ac)","Large Farm (100+ac)"))))),"—")</f>
        <v/>
      </c>
      <c r="AZ351" s="21" t="n"/>
      <c r="BF351" s="21" t="n"/>
      <c r="BG351" s="21" t="n"/>
      <c r="BH351" s="22">
        <f>IFERROR(IF(AND(BF351&lt;&gt;"",BG351&lt;&gt;""),AVERAGE(BF351,BG351),""),"—")</f>
        <v/>
      </c>
      <c r="BK351" s="21" t="n"/>
      <c r="BM351" s="21" t="n"/>
      <c r="BN351" s="28">
        <f>IFERROR(IF(AND(BK351&lt;&gt;"",BM351&lt;&gt;""),IF(BM351&lt;BK351,1,0),""),"")</f>
        <v/>
      </c>
      <c r="BP351" s="21" t="n"/>
      <c r="BS351" s="29">
        <f>IFERROR(IF(AND(BH351&lt;&gt;"",BK351&lt;&gt;""),(BH351-BK351)/BK351,""),"—")</f>
        <v/>
      </c>
      <c r="BT351" s="29">
        <f>IFERROR(IF(AND(BH351&lt;&gt;"",BP351&lt;&gt;""),(BH351-BP351)/BP351,""),"—")</f>
        <v/>
      </c>
      <c r="BU351" s="29">
        <f>IFERROR(IF(AND(BK351&lt;&gt;"",BP351&lt;&gt;""),(BP351-BK351)/BK351,""),"—")</f>
        <v/>
      </c>
    </row>
    <row r="352">
      <c r="AK352" s="14">
        <f>IFERROR(IF(AND(AG352&lt;&gt;"",AH352&lt;&gt;""),AG352*AH352,IF(AI352&lt;&gt;"",AI352,IF(AJ352&lt;&gt;"",AJ352*43560,""))),"ERROR")</f>
        <v/>
      </c>
      <c r="AL352" s="15">
        <f>IFERROR(IF(AK352&lt;&gt;"",AK352/43560,""),"—")</f>
        <v/>
      </c>
      <c r="AN352" s="14">
        <f>IFERROR(IF(AL352="","",IF(AL352&lt;2,"Residential (&lt;2ac)",IF(AL352&lt;10,"Small Rural (2-10ac)",IF(AL352&lt;40,"Rural (10-40ac)",IF(AL352&lt;100,"Farm/Estate (40-100ac)","Large Farm (100+ac)"))))),"—")</f>
        <v/>
      </c>
      <c r="AZ352" s="21" t="n"/>
      <c r="BF352" s="21" t="n"/>
      <c r="BG352" s="21" t="n"/>
      <c r="BH352" s="22">
        <f>IFERROR(IF(AND(BF352&lt;&gt;"",BG352&lt;&gt;""),AVERAGE(BF352,BG352),""),"—")</f>
        <v/>
      </c>
      <c r="BK352" s="21" t="n"/>
      <c r="BM352" s="21" t="n"/>
      <c r="BN352" s="28">
        <f>IFERROR(IF(AND(BK352&lt;&gt;"",BM352&lt;&gt;""),IF(BM352&lt;BK352,1,0),""),"")</f>
        <v/>
      </c>
      <c r="BP352" s="21" t="n"/>
      <c r="BS352" s="29">
        <f>IFERROR(IF(AND(BH352&lt;&gt;"",BK352&lt;&gt;""),(BH352-BK352)/BK352,""),"—")</f>
        <v/>
      </c>
      <c r="BT352" s="29">
        <f>IFERROR(IF(AND(BH352&lt;&gt;"",BP352&lt;&gt;""),(BH352-BP352)/BP352,""),"—")</f>
        <v/>
      </c>
      <c r="BU352" s="29">
        <f>IFERROR(IF(AND(BK352&lt;&gt;"",BP352&lt;&gt;""),(BP352-BK352)/BK352,""),"—")</f>
        <v/>
      </c>
    </row>
    <row r="353">
      <c r="AK353" s="14">
        <f>IFERROR(IF(AND(AG353&lt;&gt;"",AH353&lt;&gt;""),AG353*AH353,IF(AI353&lt;&gt;"",AI353,IF(AJ353&lt;&gt;"",AJ353*43560,""))),"ERROR")</f>
        <v/>
      </c>
      <c r="AL353" s="15">
        <f>IFERROR(IF(AK353&lt;&gt;"",AK353/43560,""),"—")</f>
        <v/>
      </c>
      <c r="AN353" s="14">
        <f>IFERROR(IF(AL353="","",IF(AL353&lt;2,"Residential (&lt;2ac)",IF(AL353&lt;10,"Small Rural (2-10ac)",IF(AL353&lt;40,"Rural (10-40ac)",IF(AL353&lt;100,"Farm/Estate (40-100ac)","Large Farm (100+ac)"))))),"—")</f>
        <v/>
      </c>
      <c r="AZ353" s="21" t="n"/>
      <c r="BF353" s="21" t="n"/>
      <c r="BG353" s="21" t="n"/>
      <c r="BH353" s="22">
        <f>IFERROR(IF(AND(BF353&lt;&gt;"",BG353&lt;&gt;""),AVERAGE(BF353,BG353),""),"—")</f>
        <v/>
      </c>
      <c r="BK353" s="21" t="n"/>
      <c r="BM353" s="21" t="n"/>
      <c r="BN353" s="28">
        <f>IFERROR(IF(AND(BK353&lt;&gt;"",BM353&lt;&gt;""),IF(BM353&lt;BK353,1,0),""),"")</f>
        <v/>
      </c>
      <c r="BP353" s="21" t="n"/>
      <c r="BS353" s="29">
        <f>IFERROR(IF(AND(BH353&lt;&gt;"",BK353&lt;&gt;""),(BH353-BK353)/BK353,""),"—")</f>
        <v/>
      </c>
      <c r="BT353" s="29">
        <f>IFERROR(IF(AND(BH353&lt;&gt;"",BP353&lt;&gt;""),(BH353-BP353)/BP353,""),"—")</f>
        <v/>
      </c>
      <c r="BU353" s="29">
        <f>IFERROR(IF(AND(BK353&lt;&gt;"",BP353&lt;&gt;""),(BP353-BK353)/BK353,""),"—")</f>
        <v/>
      </c>
    </row>
    <row r="354">
      <c r="AK354" s="14">
        <f>IFERROR(IF(AND(AG354&lt;&gt;"",AH354&lt;&gt;""),AG354*AH354,IF(AI354&lt;&gt;"",AI354,IF(AJ354&lt;&gt;"",AJ354*43560,""))),"ERROR")</f>
        <v/>
      </c>
      <c r="AL354" s="15">
        <f>IFERROR(IF(AK354&lt;&gt;"",AK354/43560,""),"—")</f>
        <v/>
      </c>
      <c r="AN354" s="14">
        <f>IFERROR(IF(AL354="","",IF(AL354&lt;2,"Residential (&lt;2ac)",IF(AL354&lt;10,"Small Rural (2-10ac)",IF(AL354&lt;40,"Rural (10-40ac)",IF(AL354&lt;100,"Farm/Estate (40-100ac)","Large Farm (100+ac)"))))),"—")</f>
        <v/>
      </c>
      <c r="AZ354" s="21" t="n"/>
      <c r="BF354" s="21" t="n"/>
      <c r="BG354" s="21" t="n"/>
      <c r="BH354" s="22">
        <f>IFERROR(IF(AND(BF354&lt;&gt;"",BG354&lt;&gt;""),AVERAGE(BF354,BG354),""),"—")</f>
        <v/>
      </c>
      <c r="BK354" s="21" t="n"/>
      <c r="BM354" s="21" t="n"/>
      <c r="BN354" s="28">
        <f>IFERROR(IF(AND(BK354&lt;&gt;"",BM354&lt;&gt;""),IF(BM354&lt;BK354,1,0),""),"")</f>
        <v/>
      </c>
      <c r="BP354" s="21" t="n"/>
      <c r="BS354" s="29">
        <f>IFERROR(IF(AND(BH354&lt;&gt;"",BK354&lt;&gt;""),(BH354-BK354)/BK354,""),"—")</f>
        <v/>
      </c>
      <c r="BT354" s="29">
        <f>IFERROR(IF(AND(BH354&lt;&gt;"",BP354&lt;&gt;""),(BH354-BP354)/BP354,""),"—")</f>
        <v/>
      </c>
      <c r="BU354" s="29">
        <f>IFERROR(IF(AND(BK354&lt;&gt;"",BP354&lt;&gt;""),(BP354-BK354)/BK354,""),"—")</f>
        <v/>
      </c>
    </row>
    <row r="355">
      <c r="AK355" s="14">
        <f>IFERROR(IF(AND(AG355&lt;&gt;"",AH355&lt;&gt;""),AG355*AH355,IF(AI355&lt;&gt;"",AI355,IF(AJ355&lt;&gt;"",AJ355*43560,""))),"ERROR")</f>
        <v/>
      </c>
      <c r="AL355" s="15">
        <f>IFERROR(IF(AK355&lt;&gt;"",AK355/43560,""),"—")</f>
        <v/>
      </c>
      <c r="AN355" s="14">
        <f>IFERROR(IF(AL355="","",IF(AL355&lt;2,"Residential (&lt;2ac)",IF(AL355&lt;10,"Small Rural (2-10ac)",IF(AL355&lt;40,"Rural (10-40ac)",IF(AL355&lt;100,"Farm/Estate (40-100ac)","Large Farm (100+ac)"))))),"—")</f>
        <v/>
      </c>
      <c r="AZ355" s="21" t="n"/>
      <c r="BF355" s="21" t="n"/>
      <c r="BG355" s="21" t="n"/>
      <c r="BH355" s="22">
        <f>IFERROR(IF(AND(BF355&lt;&gt;"",BG355&lt;&gt;""),AVERAGE(BF355,BG355),""),"—")</f>
        <v/>
      </c>
      <c r="BK355" s="21" t="n"/>
      <c r="BM355" s="21" t="n"/>
      <c r="BN355" s="28">
        <f>IFERROR(IF(AND(BK355&lt;&gt;"",BM355&lt;&gt;""),IF(BM355&lt;BK355,1,0),""),"")</f>
        <v/>
      </c>
      <c r="BP355" s="21" t="n"/>
      <c r="BS355" s="29">
        <f>IFERROR(IF(AND(BH355&lt;&gt;"",BK355&lt;&gt;""),(BH355-BK355)/BK355,""),"—")</f>
        <v/>
      </c>
      <c r="BT355" s="29">
        <f>IFERROR(IF(AND(BH355&lt;&gt;"",BP355&lt;&gt;""),(BH355-BP355)/BP355,""),"—")</f>
        <v/>
      </c>
      <c r="BU355" s="29">
        <f>IFERROR(IF(AND(BK355&lt;&gt;"",BP355&lt;&gt;""),(BP355-BK355)/BK355,""),"—")</f>
        <v/>
      </c>
    </row>
    <row r="356">
      <c r="AK356" s="14">
        <f>IFERROR(IF(AND(AG356&lt;&gt;"",AH356&lt;&gt;""),AG356*AH356,IF(AI356&lt;&gt;"",AI356,IF(AJ356&lt;&gt;"",AJ356*43560,""))),"ERROR")</f>
        <v/>
      </c>
      <c r="AL356" s="15">
        <f>IFERROR(IF(AK356&lt;&gt;"",AK356/43560,""),"—")</f>
        <v/>
      </c>
      <c r="AN356" s="14">
        <f>IFERROR(IF(AL356="","",IF(AL356&lt;2,"Residential (&lt;2ac)",IF(AL356&lt;10,"Small Rural (2-10ac)",IF(AL356&lt;40,"Rural (10-40ac)",IF(AL356&lt;100,"Farm/Estate (40-100ac)","Large Farm (100+ac)"))))),"—")</f>
        <v/>
      </c>
      <c r="AZ356" s="21" t="n"/>
      <c r="BF356" s="21" t="n"/>
      <c r="BG356" s="21" t="n"/>
      <c r="BH356" s="22">
        <f>IFERROR(IF(AND(BF356&lt;&gt;"",BG356&lt;&gt;""),AVERAGE(BF356,BG356),""),"—")</f>
        <v/>
      </c>
      <c r="BK356" s="21" t="n"/>
      <c r="BM356" s="21" t="n"/>
      <c r="BN356" s="28">
        <f>IFERROR(IF(AND(BK356&lt;&gt;"",BM356&lt;&gt;""),IF(BM356&lt;BK356,1,0),""),"")</f>
        <v/>
      </c>
      <c r="BP356" s="21" t="n"/>
      <c r="BS356" s="29">
        <f>IFERROR(IF(AND(BH356&lt;&gt;"",BK356&lt;&gt;""),(BH356-BK356)/BK356,""),"—")</f>
        <v/>
      </c>
      <c r="BT356" s="29">
        <f>IFERROR(IF(AND(BH356&lt;&gt;"",BP356&lt;&gt;""),(BH356-BP356)/BP356,""),"—")</f>
        <v/>
      </c>
      <c r="BU356" s="29">
        <f>IFERROR(IF(AND(BK356&lt;&gt;"",BP356&lt;&gt;""),(BP356-BK356)/BK356,""),"—")</f>
        <v/>
      </c>
    </row>
    <row r="357">
      <c r="AK357" s="14">
        <f>IFERROR(IF(AND(AG357&lt;&gt;"",AH357&lt;&gt;""),AG357*AH357,IF(AI357&lt;&gt;"",AI357,IF(AJ357&lt;&gt;"",AJ357*43560,""))),"ERROR")</f>
        <v/>
      </c>
      <c r="AL357" s="15">
        <f>IFERROR(IF(AK357&lt;&gt;"",AK357/43560,""),"—")</f>
        <v/>
      </c>
      <c r="AN357" s="14">
        <f>IFERROR(IF(AL357="","",IF(AL357&lt;2,"Residential (&lt;2ac)",IF(AL357&lt;10,"Small Rural (2-10ac)",IF(AL357&lt;40,"Rural (10-40ac)",IF(AL357&lt;100,"Farm/Estate (40-100ac)","Large Farm (100+ac)"))))),"—")</f>
        <v/>
      </c>
      <c r="AZ357" s="21" t="n"/>
      <c r="BF357" s="21" t="n"/>
      <c r="BG357" s="21" t="n"/>
      <c r="BH357" s="22">
        <f>IFERROR(IF(AND(BF357&lt;&gt;"",BG357&lt;&gt;""),AVERAGE(BF357,BG357),""),"—")</f>
        <v/>
      </c>
      <c r="BK357" s="21" t="n"/>
      <c r="BM357" s="21" t="n"/>
      <c r="BN357" s="28">
        <f>IFERROR(IF(AND(BK357&lt;&gt;"",BM357&lt;&gt;""),IF(BM357&lt;BK357,1,0),""),"")</f>
        <v/>
      </c>
      <c r="BP357" s="21" t="n"/>
      <c r="BS357" s="29">
        <f>IFERROR(IF(AND(BH357&lt;&gt;"",BK357&lt;&gt;""),(BH357-BK357)/BK357,""),"—")</f>
        <v/>
      </c>
      <c r="BT357" s="29">
        <f>IFERROR(IF(AND(BH357&lt;&gt;"",BP357&lt;&gt;""),(BH357-BP357)/BP357,""),"—")</f>
        <v/>
      </c>
      <c r="BU357" s="29">
        <f>IFERROR(IF(AND(BK357&lt;&gt;"",BP357&lt;&gt;""),(BP357-BK357)/BK357,""),"—")</f>
        <v/>
      </c>
    </row>
    <row r="358">
      <c r="AK358" s="14">
        <f>IFERROR(IF(AND(AG358&lt;&gt;"",AH358&lt;&gt;""),AG358*AH358,IF(AI358&lt;&gt;"",AI358,IF(AJ358&lt;&gt;"",AJ358*43560,""))),"ERROR")</f>
        <v/>
      </c>
      <c r="AL358" s="15">
        <f>IFERROR(IF(AK358&lt;&gt;"",AK358/43560,""),"—")</f>
        <v/>
      </c>
      <c r="AN358" s="14">
        <f>IFERROR(IF(AL358="","",IF(AL358&lt;2,"Residential (&lt;2ac)",IF(AL358&lt;10,"Small Rural (2-10ac)",IF(AL358&lt;40,"Rural (10-40ac)",IF(AL358&lt;100,"Farm/Estate (40-100ac)","Large Farm (100+ac)"))))),"—")</f>
        <v/>
      </c>
      <c r="AZ358" s="21" t="n"/>
      <c r="BF358" s="21" t="n"/>
      <c r="BG358" s="21" t="n"/>
      <c r="BH358" s="22">
        <f>IFERROR(IF(AND(BF358&lt;&gt;"",BG358&lt;&gt;""),AVERAGE(BF358,BG358),""),"—")</f>
        <v/>
      </c>
      <c r="BK358" s="21" t="n"/>
      <c r="BM358" s="21" t="n"/>
      <c r="BN358" s="28">
        <f>IFERROR(IF(AND(BK358&lt;&gt;"",BM358&lt;&gt;""),IF(BM358&lt;BK358,1,0),""),"")</f>
        <v/>
      </c>
      <c r="BP358" s="21" t="n"/>
      <c r="BS358" s="29">
        <f>IFERROR(IF(AND(BH358&lt;&gt;"",BK358&lt;&gt;""),(BH358-BK358)/BK358,""),"—")</f>
        <v/>
      </c>
      <c r="BT358" s="29">
        <f>IFERROR(IF(AND(BH358&lt;&gt;"",BP358&lt;&gt;""),(BH358-BP358)/BP358,""),"—")</f>
        <v/>
      </c>
      <c r="BU358" s="29">
        <f>IFERROR(IF(AND(BK358&lt;&gt;"",BP358&lt;&gt;""),(BP358-BK358)/BK358,""),"—")</f>
        <v/>
      </c>
    </row>
    <row r="359">
      <c r="AK359" s="14">
        <f>IFERROR(IF(AND(AG359&lt;&gt;"",AH359&lt;&gt;""),AG359*AH359,IF(AI359&lt;&gt;"",AI359,IF(AJ359&lt;&gt;"",AJ359*43560,""))),"ERROR")</f>
        <v/>
      </c>
      <c r="AL359" s="15">
        <f>IFERROR(IF(AK359&lt;&gt;"",AK359/43560,""),"—")</f>
        <v/>
      </c>
      <c r="AN359" s="14">
        <f>IFERROR(IF(AL359="","",IF(AL359&lt;2,"Residential (&lt;2ac)",IF(AL359&lt;10,"Small Rural (2-10ac)",IF(AL359&lt;40,"Rural (10-40ac)",IF(AL359&lt;100,"Farm/Estate (40-100ac)","Large Farm (100+ac)"))))),"—")</f>
        <v/>
      </c>
      <c r="AZ359" s="21" t="n"/>
      <c r="BF359" s="21" t="n"/>
      <c r="BG359" s="21" t="n"/>
      <c r="BH359" s="22">
        <f>IFERROR(IF(AND(BF359&lt;&gt;"",BG359&lt;&gt;""),AVERAGE(BF359,BG359),""),"—")</f>
        <v/>
      </c>
      <c r="BK359" s="21" t="n"/>
      <c r="BM359" s="21" t="n"/>
      <c r="BN359" s="28">
        <f>IFERROR(IF(AND(BK359&lt;&gt;"",BM359&lt;&gt;""),IF(BM359&lt;BK359,1,0),""),"")</f>
        <v/>
      </c>
      <c r="BP359" s="21" t="n"/>
      <c r="BS359" s="29">
        <f>IFERROR(IF(AND(BH359&lt;&gt;"",BK359&lt;&gt;""),(BH359-BK359)/BK359,""),"—")</f>
        <v/>
      </c>
      <c r="BT359" s="29">
        <f>IFERROR(IF(AND(BH359&lt;&gt;"",BP359&lt;&gt;""),(BH359-BP359)/BP359,""),"—")</f>
        <v/>
      </c>
      <c r="BU359" s="29">
        <f>IFERROR(IF(AND(BK359&lt;&gt;"",BP359&lt;&gt;""),(BP359-BK359)/BK359,""),"—")</f>
        <v/>
      </c>
    </row>
    <row r="360">
      <c r="AK360" s="14">
        <f>IFERROR(IF(AND(AG360&lt;&gt;"",AH360&lt;&gt;""),AG360*AH360,IF(AI360&lt;&gt;"",AI360,IF(AJ360&lt;&gt;"",AJ360*43560,""))),"ERROR")</f>
        <v/>
      </c>
      <c r="AL360" s="15">
        <f>IFERROR(IF(AK360&lt;&gt;"",AK360/43560,""),"—")</f>
        <v/>
      </c>
      <c r="AN360" s="14">
        <f>IFERROR(IF(AL360="","",IF(AL360&lt;2,"Residential (&lt;2ac)",IF(AL360&lt;10,"Small Rural (2-10ac)",IF(AL360&lt;40,"Rural (10-40ac)",IF(AL360&lt;100,"Farm/Estate (40-100ac)","Large Farm (100+ac)"))))),"—")</f>
        <v/>
      </c>
      <c r="AZ360" s="21" t="n"/>
      <c r="BF360" s="21" t="n"/>
      <c r="BG360" s="21" t="n"/>
      <c r="BH360" s="22">
        <f>IFERROR(IF(AND(BF360&lt;&gt;"",BG360&lt;&gt;""),AVERAGE(BF360,BG360),""),"—")</f>
        <v/>
      </c>
      <c r="BK360" s="21" t="n"/>
      <c r="BM360" s="21" t="n"/>
      <c r="BN360" s="28">
        <f>IFERROR(IF(AND(BK360&lt;&gt;"",BM360&lt;&gt;""),IF(BM360&lt;BK360,1,0),""),"")</f>
        <v/>
      </c>
      <c r="BP360" s="21" t="n"/>
      <c r="BS360" s="29">
        <f>IFERROR(IF(AND(BH360&lt;&gt;"",BK360&lt;&gt;""),(BH360-BK360)/BK360,""),"—")</f>
        <v/>
      </c>
      <c r="BT360" s="29">
        <f>IFERROR(IF(AND(BH360&lt;&gt;"",BP360&lt;&gt;""),(BH360-BP360)/BP360,""),"—")</f>
        <v/>
      </c>
      <c r="BU360" s="29">
        <f>IFERROR(IF(AND(BK360&lt;&gt;"",BP360&lt;&gt;""),(BP360-BK360)/BK360,""),"—")</f>
        <v/>
      </c>
    </row>
    <row r="361">
      <c r="AK361" s="14">
        <f>IFERROR(IF(AND(AG361&lt;&gt;"",AH361&lt;&gt;""),AG361*AH361,IF(AI361&lt;&gt;"",AI361,IF(AJ361&lt;&gt;"",AJ361*43560,""))),"ERROR")</f>
        <v/>
      </c>
      <c r="AL361" s="15">
        <f>IFERROR(IF(AK361&lt;&gt;"",AK361/43560,""),"—")</f>
        <v/>
      </c>
      <c r="AN361" s="14">
        <f>IFERROR(IF(AL361="","",IF(AL361&lt;2,"Residential (&lt;2ac)",IF(AL361&lt;10,"Small Rural (2-10ac)",IF(AL361&lt;40,"Rural (10-40ac)",IF(AL361&lt;100,"Farm/Estate (40-100ac)","Large Farm (100+ac)"))))),"—")</f>
        <v/>
      </c>
      <c r="AZ361" s="21" t="n"/>
      <c r="BF361" s="21" t="n"/>
      <c r="BG361" s="21" t="n"/>
      <c r="BH361" s="22">
        <f>IFERROR(IF(AND(BF361&lt;&gt;"",BG361&lt;&gt;""),AVERAGE(BF361,BG361),""),"—")</f>
        <v/>
      </c>
      <c r="BK361" s="21" t="n"/>
      <c r="BM361" s="21" t="n"/>
      <c r="BN361" s="28">
        <f>IFERROR(IF(AND(BK361&lt;&gt;"",BM361&lt;&gt;""),IF(BM361&lt;BK361,1,0),""),"")</f>
        <v/>
      </c>
      <c r="BP361" s="21" t="n"/>
      <c r="BS361" s="29">
        <f>IFERROR(IF(AND(BH361&lt;&gt;"",BK361&lt;&gt;""),(BH361-BK361)/BK361,""),"—")</f>
        <v/>
      </c>
      <c r="BT361" s="29">
        <f>IFERROR(IF(AND(BH361&lt;&gt;"",BP361&lt;&gt;""),(BH361-BP361)/BP361,""),"—")</f>
        <v/>
      </c>
      <c r="BU361" s="29">
        <f>IFERROR(IF(AND(BK361&lt;&gt;"",BP361&lt;&gt;""),(BP361-BK361)/BK361,""),"—")</f>
        <v/>
      </c>
    </row>
    <row r="362">
      <c r="AK362" s="14">
        <f>IFERROR(IF(AND(AG362&lt;&gt;"",AH362&lt;&gt;""),AG362*AH362,IF(AI362&lt;&gt;"",AI362,IF(AJ362&lt;&gt;"",AJ362*43560,""))),"ERROR")</f>
        <v/>
      </c>
      <c r="AL362" s="15">
        <f>IFERROR(IF(AK362&lt;&gt;"",AK362/43560,""),"—")</f>
        <v/>
      </c>
      <c r="AN362" s="14">
        <f>IFERROR(IF(AL362="","",IF(AL362&lt;2,"Residential (&lt;2ac)",IF(AL362&lt;10,"Small Rural (2-10ac)",IF(AL362&lt;40,"Rural (10-40ac)",IF(AL362&lt;100,"Farm/Estate (40-100ac)","Large Farm (100+ac)"))))),"—")</f>
        <v/>
      </c>
      <c r="AZ362" s="21" t="n"/>
      <c r="BF362" s="21" t="n"/>
      <c r="BG362" s="21" t="n"/>
      <c r="BH362" s="22">
        <f>IFERROR(IF(AND(BF362&lt;&gt;"",BG362&lt;&gt;""),AVERAGE(BF362,BG362),""),"—")</f>
        <v/>
      </c>
      <c r="BK362" s="21" t="n"/>
      <c r="BM362" s="21" t="n"/>
      <c r="BN362" s="28">
        <f>IFERROR(IF(AND(BK362&lt;&gt;"",BM362&lt;&gt;""),IF(BM362&lt;BK362,1,0),""),"")</f>
        <v/>
      </c>
      <c r="BP362" s="21" t="n"/>
      <c r="BS362" s="29">
        <f>IFERROR(IF(AND(BH362&lt;&gt;"",BK362&lt;&gt;""),(BH362-BK362)/BK362,""),"—")</f>
        <v/>
      </c>
      <c r="BT362" s="29">
        <f>IFERROR(IF(AND(BH362&lt;&gt;"",BP362&lt;&gt;""),(BH362-BP362)/BP362,""),"—")</f>
        <v/>
      </c>
      <c r="BU362" s="29">
        <f>IFERROR(IF(AND(BK362&lt;&gt;"",BP362&lt;&gt;""),(BP362-BK362)/BK362,""),"—")</f>
        <v/>
      </c>
    </row>
    <row r="363">
      <c r="AK363" s="14">
        <f>IFERROR(IF(AND(AG363&lt;&gt;"",AH363&lt;&gt;""),AG363*AH363,IF(AI363&lt;&gt;"",AI363,IF(AJ363&lt;&gt;"",AJ363*43560,""))),"ERROR")</f>
        <v/>
      </c>
      <c r="AL363" s="15">
        <f>IFERROR(IF(AK363&lt;&gt;"",AK363/43560,""),"—")</f>
        <v/>
      </c>
      <c r="AN363" s="14">
        <f>IFERROR(IF(AL363="","",IF(AL363&lt;2,"Residential (&lt;2ac)",IF(AL363&lt;10,"Small Rural (2-10ac)",IF(AL363&lt;40,"Rural (10-40ac)",IF(AL363&lt;100,"Farm/Estate (40-100ac)","Large Farm (100+ac)"))))),"—")</f>
        <v/>
      </c>
      <c r="AZ363" s="21" t="n"/>
      <c r="BF363" s="21" t="n"/>
      <c r="BG363" s="21" t="n"/>
      <c r="BH363" s="22">
        <f>IFERROR(IF(AND(BF363&lt;&gt;"",BG363&lt;&gt;""),AVERAGE(BF363,BG363),""),"—")</f>
        <v/>
      </c>
      <c r="BK363" s="21" t="n"/>
      <c r="BM363" s="21" t="n"/>
      <c r="BN363" s="28">
        <f>IFERROR(IF(AND(BK363&lt;&gt;"",BM363&lt;&gt;""),IF(BM363&lt;BK363,1,0),""),"")</f>
        <v/>
      </c>
      <c r="BP363" s="21" t="n"/>
      <c r="BS363" s="29">
        <f>IFERROR(IF(AND(BH363&lt;&gt;"",BK363&lt;&gt;""),(BH363-BK363)/BK363,""),"—")</f>
        <v/>
      </c>
      <c r="BT363" s="29">
        <f>IFERROR(IF(AND(BH363&lt;&gt;"",BP363&lt;&gt;""),(BH363-BP363)/BP363,""),"—")</f>
        <v/>
      </c>
      <c r="BU363" s="29">
        <f>IFERROR(IF(AND(BK363&lt;&gt;"",BP363&lt;&gt;""),(BP363-BK363)/BK363,""),"—")</f>
        <v/>
      </c>
    </row>
    <row r="364">
      <c r="AK364" s="14">
        <f>IFERROR(IF(AND(AG364&lt;&gt;"",AH364&lt;&gt;""),AG364*AH364,IF(AI364&lt;&gt;"",AI364,IF(AJ364&lt;&gt;"",AJ364*43560,""))),"ERROR")</f>
        <v/>
      </c>
      <c r="AL364" s="15">
        <f>IFERROR(IF(AK364&lt;&gt;"",AK364/43560,""),"—")</f>
        <v/>
      </c>
      <c r="AN364" s="14">
        <f>IFERROR(IF(AL364="","",IF(AL364&lt;2,"Residential (&lt;2ac)",IF(AL364&lt;10,"Small Rural (2-10ac)",IF(AL364&lt;40,"Rural (10-40ac)",IF(AL364&lt;100,"Farm/Estate (40-100ac)","Large Farm (100+ac)"))))),"—")</f>
        <v/>
      </c>
      <c r="AZ364" s="21" t="n"/>
      <c r="BF364" s="21" t="n"/>
      <c r="BG364" s="21" t="n"/>
      <c r="BH364" s="22">
        <f>IFERROR(IF(AND(BF364&lt;&gt;"",BG364&lt;&gt;""),AVERAGE(BF364,BG364),""),"—")</f>
        <v/>
      </c>
      <c r="BK364" s="21" t="n"/>
      <c r="BM364" s="21" t="n"/>
      <c r="BN364" s="28">
        <f>IFERROR(IF(AND(BK364&lt;&gt;"",BM364&lt;&gt;""),IF(BM364&lt;BK364,1,0),""),"")</f>
        <v/>
      </c>
      <c r="BP364" s="21" t="n"/>
      <c r="BS364" s="29">
        <f>IFERROR(IF(AND(BH364&lt;&gt;"",BK364&lt;&gt;""),(BH364-BK364)/BK364,""),"—")</f>
        <v/>
      </c>
      <c r="BT364" s="29">
        <f>IFERROR(IF(AND(BH364&lt;&gt;"",BP364&lt;&gt;""),(BH364-BP364)/BP364,""),"—")</f>
        <v/>
      </c>
      <c r="BU364" s="29">
        <f>IFERROR(IF(AND(BK364&lt;&gt;"",BP364&lt;&gt;""),(BP364-BK364)/BK364,""),"—")</f>
        <v/>
      </c>
    </row>
    <row r="365">
      <c r="AK365" s="14">
        <f>IFERROR(IF(AND(AG365&lt;&gt;"",AH365&lt;&gt;""),AG365*AH365,IF(AI365&lt;&gt;"",AI365,IF(AJ365&lt;&gt;"",AJ365*43560,""))),"ERROR")</f>
        <v/>
      </c>
      <c r="AL365" s="15">
        <f>IFERROR(IF(AK365&lt;&gt;"",AK365/43560,""),"—")</f>
        <v/>
      </c>
      <c r="AN365" s="14">
        <f>IFERROR(IF(AL365="","",IF(AL365&lt;2,"Residential (&lt;2ac)",IF(AL365&lt;10,"Small Rural (2-10ac)",IF(AL365&lt;40,"Rural (10-40ac)",IF(AL365&lt;100,"Farm/Estate (40-100ac)","Large Farm (100+ac)"))))),"—")</f>
        <v/>
      </c>
      <c r="AZ365" s="21" t="n"/>
      <c r="BF365" s="21" t="n"/>
      <c r="BG365" s="21" t="n"/>
      <c r="BH365" s="22">
        <f>IFERROR(IF(AND(BF365&lt;&gt;"",BG365&lt;&gt;""),AVERAGE(BF365,BG365),""),"—")</f>
        <v/>
      </c>
      <c r="BK365" s="21" t="n"/>
      <c r="BM365" s="21" t="n"/>
      <c r="BN365" s="28">
        <f>IFERROR(IF(AND(BK365&lt;&gt;"",BM365&lt;&gt;""),IF(BM365&lt;BK365,1,0),""),"")</f>
        <v/>
      </c>
      <c r="BP365" s="21" t="n"/>
      <c r="BS365" s="29">
        <f>IFERROR(IF(AND(BH365&lt;&gt;"",BK365&lt;&gt;""),(BH365-BK365)/BK365,""),"—")</f>
        <v/>
      </c>
      <c r="BT365" s="29">
        <f>IFERROR(IF(AND(BH365&lt;&gt;"",BP365&lt;&gt;""),(BH365-BP365)/BP365,""),"—")</f>
        <v/>
      </c>
      <c r="BU365" s="29">
        <f>IFERROR(IF(AND(BK365&lt;&gt;"",BP365&lt;&gt;""),(BP365-BK365)/BK365,""),"—")</f>
        <v/>
      </c>
    </row>
    <row r="366">
      <c r="AK366" s="14">
        <f>IFERROR(IF(AND(AG366&lt;&gt;"",AH366&lt;&gt;""),AG366*AH366,IF(AI366&lt;&gt;"",AI366,IF(AJ366&lt;&gt;"",AJ366*43560,""))),"ERROR")</f>
        <v/>
      </c>
      <c r="AL366" s="15">
        <f>IFERROR(IF(AK366&lt;&gt;"",AK366/43560,""),"—")</f>
        <v/>
      </c>
      <c r="AN366" s="14">
        <f>IFERROR(IF(AL366="","",IF(AL366&lt;2,"Residential (&lt;2ac)",IF(AL366&lt;10,"Small Rural (2-10ac)",IF(AL366&lt;40,"Rural (10-40ac)",IF(AL366&lt;100,"Farm/Estate (40-100ac)","Large Farm (100+ac)"))))),"—")</f>
        <v/>
      </c>
      <c r="AZ366" s="21" t="n"/>
      <c r="BF366" s="21" t="n"/>
      <c r="BG366" s="21" t="n"/>
      <c r="BH366" s="22">
        <f>IFERROR(IF(AND(BF366&lt;&gt;"",BG366&lt;&gt;""),AVERAGE(BF366,BG366),""),"—")</f>
        <v/>
      </c>
      <c r="BK366" s="21" t="n"/>
      <c r="BM366" s="21" t="n"/>
      <c r="BN366" s="28">
        <f>IFERROR(IF(AND(BK366&lt;&gt;"",BM366&lt;&gt;""),IF(BM366&lt;BK366,1,0),""),"")</f>
        <v/>
      </c>
      <c r="BP366" s="21" t="n"/>
      <c r="BS366" s="29">
        <f>IFERROR(IF(AND(BH366&lt;&gt;"",BK366&lt;&gt;""),(BH366-BK366)/BK366,""),"—")</f>
        <v/>
      </c>
      <c r="BT366" s="29">
        <f>IFERROR(IF(AND(BH366&lt;&gt;"",BP366&lt;&gt;""),(BH366-BP366)/BP366,""),"—")</f>
        <v/>
      </c>
      <c r="BU366" s="29">
        <f>IFERROR(IF(AND(BK366&lt;&gt;"",BP366&lt;&gt;""),(BP366-BK366)/BK366,""),"—")</f>
        <v/>
      </c>
    </row>
    <row r="367">
      <c r="AK367" s="14">
        <f>IFERROR(IF(AND(AG367&lt;&gt;"",AH367&lt;&gt;""),AG367*AH367,IF(AI367&lt;&gt;"",AI367,IF(AJ367&lt;&gt;"",AJ367*43560,""))),"ERROR")</f>
        <v/>
      </c>
      <c r="AL367" s="15">
        <f>IFERROR(IF(AK367&lt;&gt;"",AK367/43560,""),"—")</f>
        <v/>
      </c>
      <c r="AN367" s="14">
        <f>IFERROR(IF(AL367="","",IF(AL367&lt;2,"Residential (&lt;2ac)",IF(AL367&lt;10,"Small Rural (2-10ac)",IF(AL367&lt;40,"Rural (10-40ac)",IF(AL367&lt;100,"Farm/Estate (40-100ac)","Large Farm (100+ac)"))))),"—")</f>
        <v/>
      </c>
      <c r="AZ367" s="21" t="n"/>
      <c r="BF367" s="21" t="n"/>
      <c r="BG367" s="21" t="n"/>
      <c r="BH367" s="22">
        <f>IFERROR(IF(AND(BF367&lt;&gt;"",BG367&lt;&gt;""),AVERAGE(BF367,BG367),""),"—")</f>
        <v/>
      </c>
      <c r="BK367" s="21" t="n"/>
      <c r="BM367" s="21" t="n"/>
      <c r="BN367" s="28">
        <f>IFERROR(IF(AND(BK367&lt;&gt;"",BM367&lt;&gt;""),IF(BM367&lt;BK367,1,0),""),"")</f>
        <v/>
      </c>
      <c r="BP367" s="21" t="n"/>
      <c r="BS367" s="29">
        <f>IFERROR(IF(AND(BH367&lt;&gt;"",BK367&lt;&gt;""),(BH367-BK367)/BK367,""),"—")</f>
        <v/>
      </c>
      <c r="BT367" s="29">
        <f>IFERROR(IF(AND(BH367&lt;&gt;"",BP367&lt;&gt;""),(BH367-BP367)/BP367,""),"—")</f>
        <v/>
      </c>
      <c r="BU367" s="29">
        <f>IFERROR(IF(AND(BK367&lt;&gt;"",BP367&lt;&gt;""),(BP367-BK367)/BK367,""),"—")</f>
        <v/>
      </c>
    </row>
    <row r="368">
      <c r="AK368" s="14">
        <f>IFERROR(IF(AND(AG368&lt;&gt;"",AH368&lt;&gt;""),AG368*AH368,IF(AI368&lt;&gt;"",AI368,IF(AJ368&lt;&gt;"",AJ368*43560,""))),"ERROR")</f>
        <v/>
      </c>
      <c r="AL368" s="15">
        <f>IFERROR(IF(AK368&lt;&gt;"",AK368/43560,""),"—")</f>
        <v/>
      </c>
      <c r="AN368" s="14">
        <f>IFERROR(IF(AL368="","",IF(AL368&lt;2,"Residential (&lt;2ac)",IF(AL368&lt;10,"Small Rural (2-10ac)",IF(AL368&lt;40,"Rural (10-40ac)",IF(AL368&lt;100,"Farm/Estate (40-100ac)","Large Farm (100+ac)"))))),"—")</f>
        <v/>
      </c>
      <c r="AZ368" s="21" t="n"/>
      <c r="BF368" s="21" t="n"/>
      <c r="BG368" s="21" t="n"/>
      <c r="BH368" s="22">
        <f>IFERROR(IF(AND(BF368&lt;&gt;"",BG368&lt;&gt;""),AVERAGE(BF368,BG368),""),"—")</f>
        <v/>
      </c>
      <c r="BK368" s="21" t="n"/>
      <c r="BM368" s="21" t="n"/>
      <c r="BN368" s="28">
        <f>IFERROR(IF(AND(BK368&lt;&gt;"",BM368&lt;&gt;""),IF(BM368&lt;BK368,1,0),""),"")</f>
        <v/>
      </c>
      <c r="BP368" s="21" t="n"/>
      <c r="BS368" s="29">
        <f>IFERROR(IF(AND(BH368&lt;&gt;"",BK368&lt;&gt;""),(BH368-BK368)/BK368,""),"—")</f>
        <v/>
      </c>
      <c r="BT368" s="29">
        <f>IFERROR(IF(AND(BH368&lt;&gt;"",BP368&lt;&gt;""),(BH368-BP368)/BP368,""),"—")</f>
        <v/>
      </c>
      <c r="BU368" s="29">
        <f>IFERROR(IF(AND(BK368&lt;&gt;"",BP368&lt;&gt;""),(BP368-BK368)/BK368,""),"—")</f>
        <v/>
      </c>
    </row>
    <row r="369">
      <c r="AK369" s="14">
        <f>IFERROR(IF(AND(AG369&lt;&gt;"",AH369&lt;&gt;""),AG369*AH369,IF(AI369&lt;&gt;"",AI369,IF(AJ369&lt;&gt;"",AJ369*43560,""))),"ERROR")</f>
        <v/>
      </c>
      <c r="AL369" s="15">
        <f>IFERROR(IF(AK369&lt;&gt;"",AK369/43560,""),"—")</f>
        <v/>
      </c>
      <c r="AN369" s="14">
        <f>IFERROR(IF(AL369="","",IF(AL369&lt;2,"Residential (&lt;2ac)",IF(AL369&lt;10,"Small Rural (2-10ac)",IF(AL369&lt;40,"Rural (10-40ac)",IF(AL369&lt;100,"Farm/Estate (40-100ac)","Large Farm (100+ac)"))))),"—")</f>
        <v/>
      </c>
      <c r="AZ369" s="21" t="n"/>
      <c r="BF369" s="21" t="n"/>
      <c r="BG369" s="21" t="n"/>
      <c r="BH369" s="22">
        <f>IFERROR(IF(AND(BF369&lt;&gt;"",BG369&lt;&gt;""),AVERAGE(BF369,BG369),""),"—")</f>
        <v/>
      </c>
      <c r="BK369" s="21" t="n"/>
      <c r="BM369" s="21" t="n"/>
      <c r="BN369" s="28">
        <f>IFERROR(IF(AND(BK369&lt;&gt;"",BM369&lt;&gt;""),IF(BM369&lt;BK369,1,0),""),"")</f>
        <v/>
      </c>
      <c r="BP369" s="21" t="n"/>
      <c r="BS369" s="29">
        <f>IFERROR(IF(AND(BH369&lt;&gt;"",BK369&lt;&gt;""),(BH369-BK369)/BK369,""),"—")</f>
        <v/>
      </c>
      <c r="BT369" s="29">
        <f>IFERROR(IF(AND(BH369&lt;&gt;"",BP369&lt;&gt;""),(BH369-BP369)/BP369,""),"—")</f>
        <v/>
      </c>
      <c r="BU369" s="29">
        <f>IFERROR(IF(AND(BK369&lt;&gt;"",BP369&lt;&gt;""),(BP369-BK369)/BK369,""),"—")</f>
        <v/>
      </c>
    </row>
    <row r="370">
      <c r="AK370" s="14">
        <f>IFERROR(IF(AND(AG370&lt;&gt;"",AH370&lt;&gt;""),AG370*AH370,IF(AI370&lt;&gt;"",AI370,IF(AJ370&lt;&gt;"",AJ370*43560,""))),"ERROR")</f>
        <v/>
      </c>
      <c r="AL370" s="15">
        <f>IFERROR(IF(AK370&lt;&gt;"",AK370/43560,""),"—")</f>
        <v/>
      </c>
      <c r="AN370" s="14">
        <f>IFERROR(IF(AL370="","",IF(AL370&lt;2,"Residential (&lt;2ac)",IF(AL370&lt;10,"Small Rural (2-10ac)",IF(AL370&lt;40,"Rural (10-40ac)",IF(AL370&lt;100,"Farm/Estate (40-100ac)","Large Farm (100+ac)"))))),"—")</f>
        <v/>
      </c>
      <c r="AZ370" s="21" t="n"/>
      <c r="BF370" s="21" t="n"/>
      <c r="BG370" s="21" t="n"/>
      <c r="BH370" s="22">
        <f>IFERROR(IF(AND(BF370&lt;&gt;"",BG370&lt;&gt;""),AVERAGE(BF370,BG370),""),"—")</f>
        <v/>
      </c>
      <c r="BK370" s="21" t="n"/>
      <c r="BM370" s="21" t="n"/>
      <c r="BN370" s="28">
        <f>IFERROR(IF(AND(BK370&lt;&gt;"",BM370&lt;&gt;""),IF(BM370&lt;BK370,1,0),""),"")</f>
        <v/>
      </c>
      <c r="BP370" s="21" t="n"/>
      <c r="BS370" s="29">
        <f>IFERROR(IF(AND(BH370&lt;&gt;"",BK370&lt;&gt;""),(BH370-BK370)/BK370,""),"—")</f>
        <v/>
      </c>
      <c r="BT370" s="29">
        <f>IFERROR(IF(AND(BH370&lt;&gt;"",BP370&lt;&gt;""),(BH370-BP370)/BP370,""),"—")</f>
        <v/>
      </c>
      <c r="BU370" s="29">
        <f>IFERROR(IF(AND(BK370&lt;&gt;"",BP370&lt;&gt;""),(BP370-BK370)/BK370,""),"—")</f>
        <v/>
      </c>
    </row>
    <row r="371">
      <c r="AK371" s="14">
        <f>IFERROR(IF(AND(AG371&lt;&gt;"",AH371&lt;&gt;""),AG371*AH371,IF(AI371&lt;&gt;"",AI371,IF(AJ371&lt;&gt;"",AJ371*43560,""))),"ERROR")</f>
        <v/>
      </c>
      <c r="AL371" s="15">
        <f>IFERROR(IF(AK371&lt;&gt;"",AK371/43560,""),"—")</f>
        <v/>
      </c>
      <c r="AN371" s="14">
        <f>IFERROR(IF(AL371="","",IF(AL371&lt;2,"Residential (&lt;2ac)",IF(AL371&lt;10,"Small Rural (2-10ac)",IF(AL371&lt;40,"Rural (10-40ac)",IF(AL371&lt;100,"Farm/Estate (40-100ac)","Large Farm (100+ac)"))))),"—")</f>
        <v/>
      </c>
      <c r="AZ371" s="21" t="n"/>
      <c r="BF371" s="21" t="n"/>
      <c r="BG371" s="21" t="n"/>
      <c r="BH371" s="22">
        <f>IFERROR(IF(AND(BF371&lt;&gt;"",BG371&lt;&gt;""),AVERAGE(BF371,BG371),""),"—")</f>
        <v/>
      </c>
      <c r="BK371" s="21" t="n"/>
      <c r="BM371" s="21" t="n"/>
      <c r="BN371" s="28">
        <f>IFERROR(IF(AND(BK371&lt;&gt;"",BM371&lt;&gt;""),IF(BM371&lt;BK371,1,0),""),"")</f>
        <v/>
      </c>
      <c r="BP371" s="21" t="n"/>
      <c r="BS371" s="29">
        <f>IFERROR(IF(AND(BH371&lt;&gt;"",BK371&lt;&gt;""),(BH371-BK371)/BK371,""),"—")</f>
        <v/>
      </c>
      <c r="BT371" s="29">
        <f>IFERROR(IF(AND(BH371&lt;&gt;"",BP371&lt;&gt;""),(BH371-BP371)/BP371,""),"—")</f>
        <v/>
      </c>
      <c r="BU371" s="29">
        <f>IFERROR(IF(AND(BK371&lt;&gt;"",BP371&lt;&gt;""),(BP371-BK371)/BK371,""),"—")</f>
        <v/>
      </c>
    </row>
    <row r="372">
      <c r="AK372" s="14">
        <f>IFERROR(IF(AND(AG372&lt;&gt;"",AH372&lt;&gt;""),AG372*AH372,IF(AI372&lt;&gt;"",AI372,IF(AJ372&lt;&gt;"",AJ372*43560,""))),"ERROR")</f>
        <v/>
      </c>
      <c r="AL372" s="15">
        <f>IFERROR(IF(AK372&lt;&gt;"",AK372/43560,""),"—")</f>
        <v/>
      </c>
      <c r="AN372" s="14">
        <f>IFERROR(IF(AL372="","",IF(AL372&lt;2,"Residential (&lt;2ac)",IF(AL372&lt;10,"Small Rural (2-10ac)",IF(AL372&lt;40,"Rural (10-40ac)",IF(AL372&lt;100,"Farm/Estate (40-100ac)","Large Farm (100+ac)"))))),"—")</f>
        <v/>
      </c>
      <c r="AZ372" s="21" t="n"/>
      <c r="BF372" s="21" t="n"/>
      <c r="BG372" s="21" t="n"/>
      <c r="BH372" s="22">
        <f>IFERROR(IF(AND(BF372&lt;&gt;"",BG372&lt;&gt;""),AVERAGE(BF372,BG372),""),"—")</f>
        <v/>
      </c>
      <c r="BK372" s="21" t="n"/>
      <c r="BM372" s="21" t="n"/>
      <c r="BN372" s="28">
        <f>IFERROR(IF(AND(BK372&lt;&gt;"",BM372&lt;&gt;""),IF(BM372&lt;BK372,1,0),""),"")</f>
        <v/>
      </c>
      <c r="BP372" s="21" t="n"/>
      <c r="BS372" s="29">
        <f>IFERROR(IF(AND(BH372&lt;&gt;"",BK372&lt;&gt;""),(BH372-BK372)/BK372,""),"—")</f>
        <v/>
      </c>
      <c r="BT372" s="29">
        <f>IFERROR(IF(AND(BH372&lt;&gt;"",BP372&lt;&gt;""),(BH372-BP372)/BP372,""),"—")</f>
        <v/>
      </c>
      <c r="BU372" s="29">
        <f>IFERROR(IF(AND(BK372&lt;&gt;"",BP372&lt;&gt;""),(BP372-BK372)/BK372,""),"—")</f>
        <v/>
      </c>
    </row>
    <row r="373">
      <c r="AK373" s="14">
        <f>IFERROR(IF(AND(AG373&lt;&gt;"",AH373&lt;&gt;""),AG373*AH373,IF(AI373&lt;&gt;"",AI373,IF(AJ373&lt;&gt;"",AJ373*43560,""))),"ERROR")</f>
        <v/>
      </c>
      <c r="AL373" s="15">
        <f>IFERROR(IF(AK373&lt;&gt;"",AK373/43560,""),"—")</f>
        <v/>
      </c>
      <c r="AN373" s="14">
        <f>IFERROR(IF(AL373="","",IF(AL373&lt;2,"Residential (&lt;2ac)",IF(AL373&lt;10,"Small Rural (2-10ac)",IF(AL373&lt;40,"Rural (10-40ac)",IF(AL373&lt;100,"Farm/Estate (40-100ac)","Large Farm (100+ac)"))))),"—")</f>
        <v/>
      </c>
      <c r="AZ373" s="21" t="n"/>
      <c r="BF373" s="21" t="n"/>
      <c r="BG373" s="21" t="n"/>
      <c r="BH373" s="22">
        <f>IFERROR(IF(AND(BF373&lt;&gt;"",BG373&lt;&gt;""),AVERAGE(BF373,BG373),""),"—")</f>
        <v/>
      </c>
      <c r="BK373" s="21" t="n"/>
      <c r="BM373" s="21" t="n"/>
      <c r="BN373" s="28">
        <f>IFERROR(IF(AND(BK373&lt;&gt;"",BM373&lt;&gt;""),IF(BM373&lt;BK373,1,0),""),"")</f>
        <v/>
      </c>
      <c r="BP373" s="21" t="n"/>
      <c r="BS373" s="29">
        <f>IFERROR(IF(AND(BH373&lt;&gt;"",BK373&lt;&gt;""),(BH373-BK373)/BK373,""),"—")</f>
        <v/>
      </c>
      <c r="BT373" s="29">
        <f>IFERROR(IF(AND(BH373&lt;&gt;"",BP373&lt;&gt;""),(BH373-BP373)/BP373,""),"—")</f>
        <v/>
      </c>
      <c r="BU373" s="29">
        <f>IFERROR(IF(AND(BK373&lt;&gt;"",BP373&lt;&gt;""),(BP373-BK373)/BK373,""),"—")</f>
        <v/>
      </c>
    </row>
    <row r="374">
      <c r="AK374" s="14">
        <f>IFERROR(IF(AND(AG374&lt;&gt;"",AH374&lt;&gt;""),AG374*AH374,IF(AI374&lt;&gt;"",AI374,IF(AJ374&lt;&gt;"",AJ374*43560,""))),"ERROR")</f>
        <v/>
      </c>
      <c r="AL374" s="15">
        <f>IFERROR(IF(AK374&lt;&gt;"",AK374/43560,""),"—")</f>
        <v/>
      </c>
      <c r="AN374" s="14">
        <f>IFERROR(IF(AL374="","",IF(AL374&lt;2,"Residential (&lt;2ac)",IF(AL374&lt;10,"Small Rural (2-10ac)",IF(AL374&lt;40,"Rural (10-40ac)",IF(AL374&lt;100,"Farm/Estate (40-100ac)","Large Farm (100+ac)"))))),"—")</f>
        <v/>
      </c>
      <c r="AZ374" s="21" t="n"/>
      <c r="BF374" s="21" t="n"/>
      <c r="BG374" s="21" t="n"/>
      <c r="BH374" s="22">
        <f>IFERROR(IF(AND(BF374&lt;&gt;"",BG374&lt;&gt;""),AVERAGE(BF374,BG374),""),"—")</f>
        <v/>
      </c>
      <c r="BK374" s="21" t="n"/>
      <c r="BM374" s="21" t="n"/>
      <c r="BN374" s="28">
        <f>IFERROR(IF(AND(BK374&lt;&gt;"",BM374&lt;&gt;""),IF(BM374&lt;BK374,1,0),""),"")</f>
        <v/>
      </c>
      <c r="BP374" s="21" t="n"/>
      <c r="BS374" s="29">
        <f>IFERROR(IF(AND(BH374&lt;&gt;"",BK374&lt;&gt;""),(BH374-BK374)/BK374,""),"—")</f>
        <v/>
      </c>
      <c r="BT374" s="29">
        <f>IFERROR(IF(AND(BH374&lt;&gt;"",BP374&lt;&gt;""),(BH374-BP374)/BP374,""),"—")</f>
        <v/>
      </c>
      <c r="BU374" s="29">
        <f>IFERROR(IF(AND(BK374&lt;&gt;"",BP374&lt;&gt;""),(BP374-BK374)/BK374,""),"—")</f>
        <v/>
      </c>
    </row>
    <row r="375">
      <c r="AK375" s="14">
        <f>IFERROR(IF(AND(AG375&lt;&gt;"",AH375&lt;&gt;""),AG375*AH375,IF(AI375&lt;&gt;"",AI375,IF(AJ375&lt;&gt;"",AJ375*43560,""))),"ERROR")</f>
        <v/>
      </c>
      <c r="AL375" s="15">
        <f>IFERROR(IF(AK375&lt;&gt;"",AK375/43560,""),"—")</f>
        <v/>
      </c>
      <c r="AN375" s="14">
        <f>IFERROR(IF(AL375="","",IF(AL375&lt;2,"Residential (&lt;2ac)",IF(AL375&lt;10,"Small Rural (2-10ac)",IF(AL375&lt;40,"Rural (10-40ac)",IF(AL375&lt;100,"Farm/Estate (40-100ac)","Large Farm (100+ac)"))))),"—")</f>
        <v/>
      </c>
      <c r="AZ375" s="21" t="n"/>
      <c r="BF375" s="21" t="n"/>
      <c r="BG375" s="21" t="n"/>
      <c r="BH375" s="22">
        <f>IFERROR(IF(AND(BF375&lt;&gt;"",BG375&lt;&gt;""),AVERAGE(BF375,BG375),""),"—")</f>
        <v/>
      </c>
      <c r="BK375" s="21" t="n"/>
      <c r="BM375" s="21" t="n"/>
      <c r="BN375" s="28">
        <f>IFERROR(IF(AND(BK375&lt;&gt;"",BM375&lt;&gt;""),IF(BM375&lt;BK375,1,0),""),"")</f>
        <v/>
      </c>
      <c r="BP375" s="21" t="n"/>
      <c r="BS375" s="29">
        <f>IFERROR(IF(AND(BH375&lt;&gt;"",BK375&lt;&gt;""),(BH375-BK375)/BK375,""),"—")</f>
        <v/>
      </c>
      <c r="BT375" s="29">
        <f>IFERROR(IF(AND(BH375&lt;&gt;"",BP375&lt;&gt;""),(BH375-BP375)/BP375,""),"—")</f>
        <v/>
      </c>
      <c r="BU375" s="29">
        <f>IFERROR(IF(AND(BK375&lt;&gt;"",BP375&lt;&gt;""),(BP375-BK375)/BK375,""),"—")</f>
        <v/>
      </c>
    </row>
    <row r="376">
      <c r="AK376" s="14">
        <f>IFERROR(IF(AND(AG376&lt;&gt;"",AH376&lt;&gt;""),AG376*AH376,IF(AI376&lt;&gt;"",AI376,IF(AJ376&lt;&gt;"",AJ376*43560,""))),"ERROR")</f>
        <v/>
      </c>
      <c r="AL376" s="15">
        <f>IFERROR(IF(AK376&lt;&gt;"",AK376/43560,""),"—")</f>
        <v/>
      </c>
      <c r="AN376" s="14">
        <f>IFERROR(IF(AL376="","",IF(AL376&lt;2,"Residential (&lt;2ac)",IF(AL376&lt;10,"Small Rural (2-10ac)",IF(AL376&lt;40,"Rural (10-40ac)",IF(AL376&lt;100,"Farm/Estate (40-100ac)","Large Farm (100+ac)"))))),"—")</f>
        <v/>
      </c>
      <c r="AZ376" s="21" t="n"/>
      <c r="BF376" s="21" t="n"/>
      <c r="BG376" s="21" t="n"/>
      <c r="BH376" s="22">
        <f>IFERROR(IF(AND(BF376&lt;&gt;"",BG376&lt;&gt;""),AVERAGE(BF376,BG376),""),"—")</f>
        <v/>
      </c>
      <c r="BK376" s="21" t="n"/>
      <c r="BM376" s="21" t="n"/>
      <c r="BN376" s="28">
        <f>IFERROR(IF(AND(BK376&lt;&gt;"",BM376&lt;&gt;""),IF(BM376&lt;BK376,1,0),""),"")</f>
        <v/>
      </c>
      <c r="BP376" s="21" t="n"/>
      <c r="BS376" s="29">
        <f>IFERROR(IF(AND(BH376&lt;&gt;"",BK376&lt;&gt;""),(BH376-BK376)/BK376,""),"—")</f>
        <v/>
      </c>
      <c r="BT376" s="29">
        <f>IFERROR(IF(AND(BH376&lt;&gt;"",BP376&lt;&gt;""),(BH376-BP376)/BP376,""),"—")</f>
        <v/>
      </c>
      <c r="BU376" s="29">
        <f>IFERROR(IF(AND(BK376&lt;&gt;"",BP376&lt;&gt;""),(BP376-BK376)/BK376,""),"—")</f>
        <v/>
      </c>
    </row>
    <row r="377">
      <c r="AK377" s="14">
        <f>IFERROR(IF(AND(AG377&lt;&gt;"",AH377&lt;&gt;""),AG377*AH377,IF(AI377&lt;&gt;"",AI377,IF(AJ377&lt;&gt;"",AJ377*43560,""))),"ERROR")</f>
        <v/>
      </c>
      <c r="AL377" s="15">
        <f>IFERROR(IF(AK377&lt;&gt;"",AK377/43560,""),"—")</f>
        <v/>
      </c>
      <c r="AN377" s="14">
        <f>IFERROR(IF(AL377="","",IF(AL377&lt;2,"Residential (&lt;2ac)",IF(AL377&lt;10,"Small Rural (2-10ac)",IF(AL377&lt;40,"Rural (10-40ac)",IF(AL377&lt;100,"Farm/Estate (40-100ac)","Large Farm (100+ac)"))))),"—")</f>
        <v/>
      </c>
      <c r="AZ377" s="21" t="n"/>
      <c r="BF377" s="21" t="n"/>
      <c r="BG377" s="21" t="n"/>
      <c r="BH377" s="22">
        <f>IFERROR(IF(AND(BF377&lt;&gt;"",BG377&lt;&gt;""),AVERAGE(BF377,BG377),""),"—")</f>
        <v/>
      </c>
      <c r="BK377" s="21" t="n"/>
      <c r="BM377" s="21" t="n"/>
      <c r="BN377" s="28">
        <f>IFERROR(IF(AND(BK377&lt;&gt;"",BM377&lt;&gt;""),IF(BM377&lt;BK377,1,0),""),"")</f>
        <v/>
      </c>
      <c r="BP377" s="21" t="n"/>
      <c r="BS377" s="29">
        <f>IFERROR(IF(AND(BH377&lt;&gt;"",BK377&lt;&gt;""),(BH377-BK377)/BK377,""),"—")</f>
        <v/>
      </c>
      <c r="BT377" s="29">
        <f>IFERROR(IF(AND(BH377&lt;&gt;"",BP377&lt;&gt;""),(BH377-BP377)/BP377,""),"—")</f>
        <v/>
      </c>
      <c r="BU377" s="29">
        <f>IFERROR(IF(AND(BK377&lt;&gt;"",BP377&lt;&gt;""),(BP377-BK377)/BK377,""),"—")</f>
        <v/>
      </c>
    </row>
    <row r="378">
      <c r="AK378" s="14">
        <f>IFERROR(IF(AND(AG378&lt;&gt;"",AH378&lt;&gt;""),AG378*AH378,IF(AI378&lt;&gt;"",AI378,IF(AJ378&lt;&gt;"",AJ378*43560,""))),"ERROR")</f>
        <v/>
      </c>
      <c r="AL378" s="15">
        <f>IFERROR(IF(AK378&lt;&gt;"",AK378/43560,""),"—")</f>
        <v/>
      </c>
      <c r="AN378" s="14">
        <f>IFERROR(IF(AL378="","",IF(AL378&lt;2,"Residential (&lt;2ac)",IF(AL378&lt;10,"Small Rural (2-10ac)",IF(AL378&lt;40,"Rural (10-40ac)",IF(AL378&lt;100,"Farm/Estate (40-100ac)","Large Farm (100+ac)"))))),"—")</f>
        <v/>
      </c>
      <c r="AZ378" s="21" t="n"/>
      <c r="BF378" s="21" t="n"/>
      <c r="BG378" s="21" t="n"/>
      <c r="BH378" s="22">
        <f>IFERROR(IF(AND(BF378&lt;&gt;"",BG378&lt;&gt;""),AVERAGE(BF378,BG378),""),"—")</f>
        <v/>
      </c>
      <c r="BK378" s="21" t="n"/>
      <c r="BM378" s="21" t="n"/>
      <c r="BN378" s="28">
        <f>IFERROR(IF(AND(BK378&lt;&gt;"",BM378&lt;&gt;""),IF(BM378&lt;BK378,1,0),""),"")</f>
        <v/>
      </c>
      <c r="BP378" s="21" t="n"/>
      <c r="BS378" s="29">
        <f>IFERROR(IF(AND(BH378&lt;&gt;"",BK378&lt;&gt;""),(BH378-BK378)/BK378,""),"—")</f>
        <v/>
      </c>
      <c r="BT378" s="29">
        <f>IFERROR(IF(AND(BH378&lt;&gt;"",BP378&lt;&gt;""),(BH378-BP378)/BP378,""),"—")</f>
        <v/>
      </c>
      <c r="BU378" s="29">
        <f>IFERROR(IF(AND(BK378&lt;&gt;"",BP378&lt;&gt;""),(BP378-BK378)/BK378,""),"—")</f>
        <v/>
      </c>
    </row>
    <row r="379">
      <c r="AK379" s="14">
        <f>IFERROR(IF(AND(AG379&lt;&gt;"",AH379&lt;&gt;""),AG379*AH379,IF(AI379&lt;&gt;"",AI379,IF(AJ379&lt;&gt;"",AJ379*43560,""))),"ERROR")</f>
        <v/>
      </c>
      <c r="AL379" s="15">
        <f>IFERROR(IF(AK379&lt;&gt;"",AK379/43560,""),"—")</f>
        <v/>
      </c>
      <c r="AN379" s="14">
        <f>IFERROR(IF(AL379="","",IF(AL379&lt;2,"Residential (&lt;2ac)",IF(AL379&lt;10,"Small Rural (2-10ac)",IF(AL379&lt;40,"Rural (10-40ac)",IF(AL379&lt;100,"Farm/Estate (40-100ac)","Large Farm (100+ac)"))))),"—")</f>
        <v/>
      </c>
      <c r="AZ379" s="21" t="n"/>
      <c r="BF379" s="21" t="n"/>
      <c r="BG379" s="21" t="n"/>
      <c r="BH379" s="22">
        <f>IFERROR(IF(AND(BF379&lt;&gt;"",BG379&lt;&gt;""),AVERAGE(BF379,BG379),""),"—")</f>
        <v/>
      </c>
      <c r="BK379" s="21" t="n"/>
      <c r="BM379" s="21" t="n"/>
      <c r="BN379" s="28">
        <f>IFERROR(IF(AND(BK379&lt;&gt;"",BM379&lt;&gt;""),IF(BM379&lt;BK379,1,0),""),"")</f>
        <v/>
      </c>
      <c r="BP379" s="21" t="n"/>
      <c r="BS379" s="29">
        <f>IFERROR(IF(AND(BH379&lt;&gt;"",BK379&lt;&gt;""),(BH379-BK379)/BK379,""),"—")</f>
        <v/>
      </c>
      <c r="BT379" s="29">
        <f>IFERROR(IF(AND(BH379&lt;&gt;"",BP379&lt;&gt;""),(BH379-BP379)/BP379,""),"—")</f>
        <v/>
      </c>
      <c r="BU379" s="29">
        <f>IFERROR(IF(AND(BK379&lt;&gt;"",BP379&lt;&gt;""),(BP379-BK379)/BK379,""),"—")</f>
        <v/>
      </c>
    </row>
    <row r="380">
      <c r="AK380" s="14">
        <f>IFERROR(IF(AND(AG380&lt;&gt;"",AH380&lt;&gt;""),AG380*AH380,IF(AI380&lt;&gt;"",AI380,IF(AJ380&lt;&gt;"",AJ380*43560,""))),"ERROR")</f>
        <v/>
      </c>
      <c r="AL380" s="15">
        <f>IFERROR(IF(AK380&lt;&gt;"",AK380/43560,""),"—")</f>
        <v/>
      </c>
      <c r="AN380" s="14">
        <f>IFERROR(IF(AL380="","",IF(AL380&lt;2,"Residential (&lt;2ac)",IF(AL380&lt;10,"Small Rural (2-10ac)",IF(AL380&lt;40,"Rural (10-40ac)",IF(AL380&lt;100,"Farm/Estate (40-100ac)","Large Farm (100+ac)"))))),"—")</f>
        <v/>
      </c>
      <c r="AZ380" s="21" t="n"/>
      <c r="BF380" s="21" t="n"/>
      <c r="BG380" s="21" t="n"/>
      <c r="BH380" s="22">
        <f>IFERROR(IF(AND(BF380&lt;&gt;"",BG380&lt;&gt;""),AVERAGE(BF380,BG380),""),"—")</f>
        <v/>
      </c>
      <c r="BK380" s="21" t="n"/>
      <c r="BM380" s="21" t="n"/>
      <c r="BN380" s="28">
        <f>IFERROR(IF(AND(BK380&lt;&gt;"",BM380&lt;&gt;""),IF(BM380&lt;BK380,1,0),""),"")</f>
        <v/>
      </c>
      <c r="BP380" s="21" t="n"/>
      <c r="BS380" s="29">
        <f>IFERROR(IF(AND(BH380&lt;&gt;"",BK380&lt;&gt;""),(BH380-BK380)/BK380,""),"—")</f>
        <v/>
      </c>
      <c r="BT380" s="29">
        <f>IFERROR(IF(AND(BH380&lt;&gt;"",BP380&lt;&gt;""),(BH380-BP380)/BP380,""),"—")</f>
        <v/>
      </c>
      <c r="BU380" s="29">
        <f>IFERROR(IF(AND(BK380&lt;&gt;"",BP380&lt;&gt;""),(BP380-BK380)/BK380,""),"—")</f>
        <v/>
      </c>
    </row>
    <row r="381">
      <c r="AK381" s="14">
        <f>IFERROR(IF(AND(AG381&lt;&gt;"",AH381&lt;&gt;""),AG381*AH381,IF(AI381&lt;&gt;"",AI381,IF(AJ381&lt;&gt;"",AJ381*43560,""))),"ERROR")</f>
        <v/>
      </c>
      <c r="AL381" s="15">
        <f>IFERROR(IF(AK381&lt;&gt;"",AK381/43560,""),"—")</f>
        <v/>
      </c>
      <c r="AN381" s="14">
        <f>IFERROR(IF(AL381="","",IF(AL381&lt;2,"Residential (&lt;2ac)",IF(AL381&lt;10,"Small Rural (2-10ac)",IF(AL381&lt;40,"Rural (10-40ac)",IF(AL381&lt;100,"Farm/Estate (40-100ac)","Large Farm (100+ac)"))))),"—")</f>
        <v/>
      </c>
      <c r="AZ381" s="21" t="n"/>
      <c r="BF381" s="21" t="n"/>
      <c r="BG381" s="21" t="n"/>
      <c r="BH381" s="22">
        <f>IFERROR(IF(AND(BF381&lt;&gt;"",BG381&lt;&gt;""),AVERAGE(BF381,BG381),""),"—")</f>
        <v/>
      </c>
      <c r="BK381" s="21" t="n"/>
      <c r="BM381" s="21" t="n"/>
      <c r="BN381" s="28">
        <f>IFERROR(IF(AND(BK381&lt;&gt;"",BM381&lt;&gt;""),IF(BM381&lt;BK381,1,0),""),"")</f>
        <v/>
      </c>
      <c r="BP381" s="21" t="n"/>
      <c r="BS381" s="29">
        <f>IFERROR(IF(AND(BH381&lt;&gt;"",BK381&lt;&gt;""),(BH381-BK381)/BK381,""),"—")</f>
        <v/>
      </c>
      <c r="BT381" s="29">
        <f>IFERROR(IF(AND(BH381&lt;&gt;"",BP381&lt;&gt;""),(BH381-BP381)/BP381,""),"—")</f>
        <v/>
      </c>
      <c r="BU381" s="29">
        <f>IFERROR(IF(AND(BK381&lt;&gt;"",BP381&lt;&gt;""),(BP381-BK381)/BK381,""),"—")</f>
        <v/>
      </c>
    </row>
    <row r="382">
      <c r="AK382" s="14">
        <f>IFERROR(IF(AND(AG382&lt;&gt;"",AH382&lt;&gt;""),AG382*AH382,IF(AI382&lt;&gt;"",AI382,IF(AJ382&lt;&gt;"",AJ382*43560,""))),"ERROR")</f>
        <v/>
      </c>
      <c r="AL382" s="15">
        <f>IFERROR(IF(AK382&lt;&gt;"",AK382/43560,""),"—")</f>
        <v/>
      </c>
      <c r="AN382" s="14">
        <f>IFERROR(IF(AL382="","",IF(AL382&lt;2,"Residential (&lt;2ac)",IF(AL382&lt;10,"Small Rural (2-10ac)",IF(AL382&lt;40,"Rural (10-40ac)",IF(AL382&lt;100,"Farm/Estate (40-100ac)","Large Farm (100+ac)"))))),"—")</f>
        <v/>
      </c>
      <c r="AZ382" s="21" t="n"/>
      <c r="BF382" s="21" t="n"/>
      <c r="BG382" s="21" t="n"/>
      <c r="BH382" s="22">
        <f>IFERROR(IF(AND(BF382&lt;&gt;"",BG382&lt;&gt;""),AVERAGE(BF382,BG382),""),"—")</f>
        <v/>
      </c>
      <c r="BK382" s="21" t="n"/>
      <c r="BM382" s="21" t="n"/>
      <c r="BN382" s="28">
        <f>IFERROR(IF(AND(BK382&lt;&gt;"",BM382&lt;&gt;""),IF(BM382&lt;BK382,1,0),""),"")</f>
        <v/>
      </c>
      <c r="BP382" s="21" t="n"/>
      <c r="BS382" s="29">
        <f>IFERROR(IF(AND(BH382&lt;&gt;"",BK382&lt;&gt;""),(BH382-BK382)/BK382,""),"—")</f>
        <v/>
      </c>
      <c r="BT382" s="29">
        <f>IFERROR(IF(AND(BH382&lt;&gt;"",BP382&lt;&gt;""),(BH382-BP382)/BP382,""),"—")</f>
        <v/>
      </c>
      <c r="BU382" s="29">
        <f>IFERROR(IF(AND(BK382&lt;&gt;"",BP382&lt;&gt;""),(BP382-BK382)/BK382,""),"—")</f>
        <v/>
      </c>
    </row>
    <row r="383">
      <c r="AK383" s="14">
        <f>IFERROR(IF(AND(AG383&lt;&gt;"",AH383&lt;&gt;""),AG383*AH383,IF(AI383&lt;&gt;"",AI383,IF(AJ383&lt;&gt;"",AJ383*43560,""))),"ERROR")</f>
        <v/>
      </c>
      <c r="AL383" s="15">
        <f>IFERROR(IF(AK383&lt;&gt;"",AK383/43560,""),"—")</f>
        <v/>
      </c>
      <c r="AN383" s="14">
        <f>IFERROR(IF(AL383="","",IF(AL383&lt;2,"Residential (&lt;2ac)",IF(AL383&lt;10,"Small Rural (2-10ac)",IF(AL383&lt;40,"Rural (10-40ac)",IF(AL383&lt;100,"Farm/Estate (40-100ac)","Large Farm (100+ac)"))))),"—")</f>
        <v/>
      </c>
      <c r="AZ383" s="21" t="n"/>
      <c r="BF383" s="21" t="n"/>
      <c r="BG383" s="21" t="n"/>
      <c r="BH383" s="22">
        <f>IFERROR(IF(AND(BF383&lt;&gt;"",BG383&lt;&gt;""),AVERAGE(BF383,BG383),""),"—")</f>
        <v/>
      </c>
      <c r="BK383" s="21" t="n"/>
      <c r="BM383" s="21" t="n"/>
      <c r="BN383" s="28">
        <f>IFERROR(IF(AND(BK383&lt;&gt;"",BM383&lt;&gt;""),IF(BM383&lt;BK383,1,0),""),"")</f>
        <v/>
      </c>
      <c r="BP383" s="21" t="n"/>
      <c r="BS383" s="29">
        <f>IFERROR(IF(AND(BH383&lt;&gt;"",BK383&lt;&gt;""),(BH383-BK383)/BK383,""),"—")</f>
        <v/>
      </c>
      <c r="BT383" s="29">
        <f>IFERROR(IF(AND(BH383&lt;&gt;"",BP383&lt;&gt;""),(BH383-BP383)/BP383,""),"—")</f>
        <v/>
      </c>
      <c r="BU383" s="29">
        <f>IFERROR(IF(AND(BK383&lt;&gt;"",BP383&lt;&gt;""),(BP383-BK383)/BK383,""),"—")</f>
        <v/>
      </c>
    </row>
    <row r="384">
      <c r="AK384" s="14">
        <f>IFERROR(IF(AND(AG384&lt;&gt;"",AH384&lt;&gt;""),AG384*AH384,IF(AI384&lt;&gt;"",AI384,IF(AJ384&lt;&gt;"",AJ384*43560,""))),"ERROR")</f>
        <v/>
      </c>
      <c r="AL384" s="15">
        <f>IFERROR(IF(AK384&lt;&gt;"",AK384/43560,""),"—")</f>
        <v/>
      </c>
      <c r="AN384" s="14">
        <f>IFERROR(IF(AL384="","",IF(AL384&lt;2,"Residential (&lt;2ac)",IF(AL384&lt;10,"Small Rural (2-10ac)",IF(AL384&lt;40,"Rural (10-40ac)",IF(AL384&lt;100,"Farm/Estate (40-100ac)","Large Farm (100+ac)"))))),"—")</f>
        <v/>
      </c>
      <c r="AZ384" s="21" t="n"/>
      <c r="BF384" s="21" t="n"/>
      <c r="BG384" s="21" t="n"/>
      <c r="BH384" s="22">
        <f>IFERROR(IF(AND(BF384&lt;&gt;"",BG384&lt;&gt;""),AVERAGE(BF384,BG384),""),"—")</f>
        <v/>
      </c>
      <c r="BK384" s="21" t="n"/>
      <c r="BM384" s="21" t="n"/>
      <c r="BN384" s="28">
        <f>IFERROR(IF(AND(BK384&lt;&gt;"",BM384&lt;&gt;""),IF(BM384&lt;BK384,1,0),""),"")</f>
        <v/>
      </c>
      <c r="BP384" s="21" t="n"/>
      <c r="BS384" s="29">
        <f>IFERROR(IF(AND(BH384&lt;&gt;"",BK384&lt;&gt;""),(BH384-BK384)/BK384,""),"—")</f>
        <v/>
      </c>
      <c r="BT384" s="29">
        <f>IFERROR(IF(AND(BH384&lt;&gt;"",BP384&lt;&gt;""),(BH384-BP384)/BP384,""),"—")</f>
        <v/>
      </c>
      <c r="BU384" s="29">
        <f>IFERROR(IF(AND(BK384&lt;&gt;"",BP384&lt;&gt;""),(BP384-BK384)/BK384,""),"—")</f>
        <v/>
      </c>
    </row>
    <row r="385">
      <c r="AK385" s="14">
        <f>IFERROR(IF(AND(AG385&lt;&gt;"",AH385&lt;&gt;""),AG385*AH385,IF(AI385&lt;&gt;"",AI385,IF(AJ385&lt;&gt;"",AJ385*43560,""))),"ERROR")</f>
        <v/>
      </c>
      <c r="AL385" s="15">
        <f>IFERROR(IF(AK385&lt;&gt;"",AK385/43560,""),"—")</f>
        <v/>
      </c>
      <c r="AN385" s="14">
        <f>IFERROR(IF(AL385="","",IF(AL385&lt;2,"Residential (&lt;2ac)",IF(AL385&lt;10,"Small Rural (2-10ac)",IF(AL385&lt;40,"Rural (10-40ac)",IF(AL385&lt;100,"Farm/Estate (40-100ac)","Large Farm (100+ac)"))))),"—")</f>
        <v/>
      </c>
      <c r="AZ385" s="21" t="n"/>
      <c r="BF385" s="21" t="n"/>
      <c r="BG385" s="21" t="n"/>
      <c r="BH385" s="22">
        <f>IFERROR(IF(AND(BF385&lt;&gt;"",BG385&lt;&gt;""),AVERAGE(BF385,BG385),""),"—")</f>
        <v/>
      </c>
      <c r="BK385" s="21" t="n"/>
      <c r="BM385" s="21" t="n"/>
      <c r="BN385" s="28">
        <f>IFERROR(IF(AND(BK385&lt;&gt;"",BM385&lt;&gt;""),IF(BM385&lt;BK385,1,0),""),"")</f>
        <v/>
      </c>
      <c r="BP385" s="21" t="n"/>
      <c r="BS385" s="29">
        <f>IFERROR(IF(AND(BH385&lt;&gt;"",BK385&lt;&gt;""),(BH385-BK385)/BK385,""),"—")</f>
        <v/>
      </c>
      <c r="BT385" s="29">
        <f>IFERROR(IF(AND(BH385&lt;&gt;"",BP385&lt;&gt;""),(BH385-BP385)/BP385,""),"—")</f>
        <v/>
      </c>
      <c r="BU385" s="29">
        <f>IFERROR(IF(AND(BK385&lt;&gt;"",BP385&lt;&gt;""),(BP385-BK385)/BK385,""),"—")</f>
        <v/>
      </c>
    </row>
    <row r="386">
      <c r="AK386" s="14">
        <f>IFERROR(IF(AND(AG386&lt;&gt;"",AH386&lt;&gt;""),AG386*AH386,IF(AI386&lt;&gt;"",AI386,IF(AJ386&lt;&gt;"",AJ386*43560,""))),"ERROR")</f>
        <v/>
      </c>
      <c r="AL386" s="15">
        <f>IFERROR(IF(AK386&lt;&gt;"",AK386/43560,""),"—")</f>
        <v/>
      </c>
      <c r="AN386" s="14">
        <f>IFERROR(IF(AL386="","",IF(AL386&lt;2,"Residential (&lt;2ac)",IF(AL386&lt;10,"Small Rural (2-10ac)",IF(AL386&lt;40,"Rural (10-40ac)",IF(AL386&lt;100,"Farm/Estate (40-100ac)","Large Farm (100+ac)"))))),"—")</f>
        <v/>
      </c>
      <c r="AZ386" s="21" t="n"/>
      <c r="BF386" s="21" t="n"/>
      <c r="BG386" s="21" t="n"/>
      <c r="BH386" s="22">
        <f>IFERROR(IF(AND(BF386&lt;&gt;"",BG386&lt;&gt;""),AVERAGE(BF386,BG386),""),"—")</f>
        <v/>
      </c>
      <c r="BK386" s="21" t="n"/>
      <c r="BM386" s="21" t="n"/>
      <c r="BN386" s="28">
        <f>IFERROR(IF(AND(BK386&lt;&gt;"",BM386&lt;&gt;""),IF(BM386&lt;BK386,1,0),""),"")</f>
        <v/>
      </c>
      <c r="BP386" s="21" t="n"/>
      <c r="BS386" s="29">
        <f>IFERROR(IF(AND(BH386&lt;&gt;"",BK386&lt;&gt;""),(BH386-BK386)/BK386,""),"—")</f>
        <v/>
      </c>
      <c r="BT386" s="29">
        <f>IFERROR(IF(AND(BH386&lt;&gt;"",BP386&lt;&gt;""),(BH386-BP386)/BP386,""),"—")</f>
        <v/>
      </c>
      <c r="BU386" s="29">
        <f>IFERROR(IF(AND(BK386&lt;&gt;"",BP386&lt;&gt;""),(BP386-BK386)/BK386,""),"—")</f>
        <v/>
      </c>
    </row>
    <row r="387">
      <c r="AK387" s="14">
        <f>IFERROR(IF(AND(AG387&lt;&gt;"",AH387&lt;&gt;""),AG387*AH387,IF(AI387&lt;&gt;"",AI387,IF(AJ387&lt;&gt;"",AJ387*43560,""))),"ERROR")</f>
        <v/>
      </c>
      <c r="AL387" s="15">
        <f>IFERROR(IF(AK387&lt;&gt;"",AK387/43560,""),"—")</f>
        <v/>
      </c>
      <c r="AN387" s="14">
        <f>IFERROR(IF(AL387="","",IF(AL387&lt;2,"Residential (&lt;2ac)",IF(AL387&lt;10,"Small Rural (2-10ac)",IF(AL387&lt;40,"Rural (10-40ac)",IF(AL387&lt;100,"Farm/Estate (40-100ac)","Large Farm (100+ac)"))))),"—")</f>
        <v/>
      </c>
      <c r="AZ387" s="21" t="n"/>
      <c r="BF387" s="21" t="n"/>
      <c r="BG387" s="21" t="n"/>
      <c r="BH387" s="22">
        <f>IFERROR(IF(AND(BF387&lt;&gt;"",BG387&lt;&gt;""),AVERAGE(BF387,BG387),""),"—")</f>
        <v/>
      </c>
      <c r="BK387" s="21" t="n"/>
      <c r="BM387" s="21" t="n"/>
      <c r="BN387" s="28">
        <f>IFERROR(IF(AND(BK387&lt;&gt;"",BM387&lt;&gt;""),IF(BM387&lt;BK387,1,0),""),"")</f>
        <v/>
      </c>
      <c r="BP387" s="21" t="n"/>
      <c r="BS387" s="29">
        <f>IFERROR(IF(AND(BH387&lt;&gt;"",BK387&lt;&gt;""),(BH387-BK387)/BK387,""),"—")</f>
        <v/>
      </c>
      <c r="BT387" s="29">
        <f>IFERROR(IF(AND(BH387&lt;&gt;"",BP387&lt;&gt;""),(BH387-BP387)/BP387,""),"—")</f>
        <v/>
      </c>
      <c r="BU387" s="29">
        <f>IFERROR(IF(AND(BK387&lt;&gt;"",BP387&lt;&gt;""),(BP387-BK387)/BK387,""),"—")</f>
        <v/>
      </c>
    </row>
    <row r="388">
      <c r="AK388" s="14">
        <f>IFERROR(IF(AND(AG388&lt;&gt;"",AH388&lt;&gt;""),AG388*AH388,IF(AI388&lt;&gt;"",AI388,IF(AJ388&lt;&gt;"",AJ388*43560,""))),"ERROR")</f>
        <v/>
      </c>
      <c r="AL388" s="15">
        <f>IFERROR(IF(AK388&lt;&gt;"",AK388/43560,""),"—")</f>
        <v/>
      </c>
      <c r="AN388" s="14">
        <f>IFERROR(IF(AL388="","",IF(AL388&lt;2,"Residential (&lt;2ac)",IF(AL388&lt;10,"Small Rural (2-10ac)",IF(AL388&lt;40,"Rural (10-40ac)",IF(AL388&lt;100,"Farm/Estate (40-100ac)","Large Farm (100+ac)"))))),"—")</f>
        <v/>
      </c>
      <c r="AZ388" s="21" t="n"/>
      <c r="BF388" s="21" t="n"/>
      <c r="BG388" s="21" t="n"/>
      <c r="BH388" s="22">
        <f>IFERROR(IF(AND(BF388&lt;&gt;"",BG388&lt;&gt;""),AVERAGE(BF388,BG388),""),"—")</f>
        <v/>
      </c>
      <c r="BK388" s="21" t="n"/>
      <c r="BM388" s="21" t="n"/>
      <c r="BN388" s="28">
        <f>IFERROR(IF(AND(BK388&lt;&gt;"",BM388&lt;&gt;""),IF(BM388&lt;BK388,1,0),""),"")</f>
        <v/>
      </c>
      <c r="BP388" s="21" t="n"/>
      <c r="BS388" s="29">
        <f>IFERROR(IF(AND(BH388&lt;&gt;"",BK388&lt;&gt;""),(BH388-BK388)/BK388,""),"—")</f>
        <v/>
      </c>
      <c r="BT388" s="29">
        <f>IFERROR(IF(AND(BH388&lt;&gt;"",BP388&lt;&gt;""),(BH388-BP388)/BP388,""),"—")</f>
        <v/>
      </c>
      <c r="BU388" s="29">
        <f>IFERROR(IF(AND(BK388&lt;&gt;"",BP388&lt;&gt;""),(BP388-BK388)/BK388,""),"—")</f>
        <v/>
      </c>
    </row>
    <row r="389">
      <c r="AK389" s="14">
        <f>IFERROR(IF(AND(AG389&lt;&gt;"",AH389&lt;&gt;""),AG389*AH389,IF(AI389&lt;&gt;"",AI389,IF(AJ389&lt;&gt;"",AJ389*43560,""))),"ERROR")</f>
        <v/>
      </c>
      <c r="AL389" s="15">
        <f>IFERROR(IF(AK389&lt;&gt;"",AK389/43560,""),"—")</f>
        <v/>
      </c>
      <c r="AN389" s="14">
        <f>IFERROR(IF(AL389="","",IF(AL389&lt;2,"Residential (&lt;2ac)",IF(AL389&lt;10,"Small Rural (2-10ac)",IF(AL389&lt;40,"Rural (10-40ac)",IF(AL389&lt;100,"Farm/Estate (40-100ac)","Large Farm (100+ac)"))))),"—")</f>
        <v/>
      </c>
      <c r="AZ389" s="21" t="n"/>
      <c r="BF389" s="21" t="n"/>
      <c r="BG389" s="21" t="n"/>
      <c r="BH389" s="22">
        <f>IFERROR(IF(AND(BF389&lt;&gt;"",BG389&lt;&gt;""),AVERAGE(BF389,BG389),""),"—")</f>
        <v/>
      </c>
      <c r="BK389" s="21" t="n"/>
      <c r="BM389" s="21" t="n"/>
      <c r="BN389" s="28">
        <f>IFERROR(IF(AND(BK389&lt;&gt;"",BM389&lt;&gt;""),IF(BM389&lt;BK389,1,0),""),"")</f>
        <v/>
      </c>
      <c r="BP389" s="21" t="n"/>
      <c r="BS389" s="29">
        <f>IFERROR(IF(AND(BH389&lt;&gt;"",BK389&lt;&gt;""),(BH389-BK389)/BK389,""),"—")</f>
        <v/>
      </c>
      <c r="BT389" s="29">
        <f>IFERROR(IF(AND(BH389&lt;&gt;"",BP389&lt;&gt;""),(BH389-BP389)/BP389,""),"—")</f>
        <v/>
      </c>
      <c r="BU389" s="29">
        <f>IFERROR(IF(AND(BK389&lt;&gt;"",BP389&lt;&gt;""),(BP389-BK389)/BK389,""),"—")</f>
        <v/>
      </c>
    </row>
    <row r="390">
      <c r="AK390" s="14">
        <f>IFERROR(IF(AND(AG390&lt;&gt;"",AH390&lt;&gt;""),AG390*AH390,IF(AI390&lt;&gt;"",AI390,IF(AJ390&lt;&gt;"",AJ390*43560,""))),"ERROR")</f>
        <v/>
      </c>
      <c r="AL390" s="15">
        <f>IFERROR(IF(AK390&lt;&gt;"",AK390/43560,""),"—")</f>
        <v/>
      </c>
      <c r="AN390" s="14">
        <f>IFERROR(IF(AL390="","",IF(AL390&lt;2,"Residential (&lt;2ac)",IF(AL390&lt;10,"Small Rural (2-10ac)",IF(AL390&lt;40,"Rural (10-40ac)",IF(AL390&lt;100,"Farm/Estate (40-100ac)","Large Farm (100+ac)"))))),"—")</f>
        <v/>
      </c>
      <c r="AZ390" s="21" t="n"/>
      <c r="BF390" s="21" t="n"/>
      <c r="BG390" s="21" t="n"/>
      <c r="BH390" s="22">
        <f>IFERROR(IF(AND(BF390&lt;&gt;"",BG390&lt;&gt;""),AVERAGE(BF390,BG390),""),"—")</f>
        <v/>
      </c>
      <c r="BK390" s="21" t="n"/>
      <c r="BM390" s="21" t="n"/>
      <c r="BN390" s="28">
        <f>IFERROR(IF(AND(BK390&lt;&gt;"",BM390&lt;&gt;""),IF(BM390&lt;BK390,1,0),""),"")</f>
        <v/>
      </c>
      <c r="BP390" s="21" t="n"/>
      <c r="BS390" s="29">
        <f>IFERROR(IF(AND(BH390&lt;&gt;"",BK390&lt;&gt;""),(BH390-BK390)/BK390,""),"—")</f>
        <v/>
      </c>
      <c r="BT390" s="29">
        <f>IFERROR(IF(AND(BH390&lt;&gt;"",BP390&lt;&gt;""),(BH390-BP390)/BP390,""),"—")</f>
        <v/>
      </c>
      <c r="BU390" s="29">
        <f>IFERROR(IF(AND(BK390&lt;&gt;"",BP390&lt;&gt;""),(BP390-BK390)/BK390,""),"—")</f>
        <v/>
      </c>
    </row>
    <row r="391">
      <c r="AK391" s="14">
        <f>IFERROR(IF(AND(AG391&lt;&gt;"",AH391&lt;&gt;""),AG391*AH391,IF(AI391&lt;&gt;"",AI391,IF(AJ391&lt;&gt;"",AJ391*43560,""))),"ERROR")</f>
        <v/>
      </c>
      <c r="AL391" s="15">
        <f>IFERROR(IF(AK391&lt;&gt;"",AK391/43560,""),"—")</f>
        <v/>
      </c>
      <c r="AN391" s="14">
        <f>IFERROR(IF(AL391="","",IF(AL391&lt;2,"Residential (&lt;2ac)",IF(AL391&lt;10,"Small Rural (2-10ac)",IF(AL391&lt;40,"Rural (10-40ac)",IF(AL391&lt;100,"Farm/Estate (40-100ac)","Large Farm (100+ac)"))))),"—")</f>
        <v/>
      </c>
      <c r="AZ391" s="21" t="n"/>
      <c r="BF391" s="21" t="n"/>
      <c r="BG391" s="21" t="n"/>
      <c r="BH391" s="22">
        <f>IFERROR(IF(AND(BF391&lt;&gt;"",BG391&lt;&gt;""),AVERAGE(BF391,BG391),""),"—")</f>
        <v/>
      </c>
      <c r="BK391" s="21" t="n"/>
      <c r="BM391" s="21" t="n"/>
      <c r="BN391" s="28">
        <f>IFERROR(IF(AND(BK391&lt;&gt;"",BM391&lt;&gt;""),IF(BM391&lt;BK391,1,0),""),"")</f>
        <v/>
      </c>
      <c r="BP391" s="21" t="n"/>
      <c r="BS391" s="29">
        <f>IFERROR(IF(AND(BH391&lt;&gt;"",BK391&lt;&gt;""),(BH391-BK391)/BK391,""),"—")</f>
        <v/>
      </c>
      <c r="BT391" s="29">
        <f>IFERROR(IF(AND(BH391&lt;&gt;"",BP391&lt;&gt;""),(BH391-BP391)/BP391,""),"—")</f>
        <v/>
      </c>
      <c r="BU391" s="29">
        <f>IFERROR(IF(AND(BK391&lt;&gt;"",BP391&lt;&gt;""),(BP391-BK391)/BK391,""),"—")</f>
        <v/>
      </c>
    </row>
    <row r="392">
      <c r="AK392" s="14">
        <f>IFERROR(IF(AND(AG392&lt;&gt;"",AH392&lt;&gt;""),AG392*AH392,IF(AI392&lt;&gt;"",AI392,IF(AJ392&lt;&gt;"",AJ392*43560,""))),"ERROR")</f>
        <v/>
      </c>
      <c r="AL392" s="15">
        <f>IFERROR(IF(AK392&lt;&gt;"",AK392/43560,""),"—")</f>
        <v/>
      </c>
      <c r="AN392" s="14">
        <f>IFERROR(IF(AL392="","",IF(AL392&lt;2,"Residential (&lt;2ac)",IF(AL392&lt;10,"Small Rural (2-10ac)",IF(AL392&lt;40,"Rural (10-40ac)",IF(AL392&lt;100,"Farm/Estate (40-100ac)","Large Farm (100+ac)"))))),"—")</f>
        <v/>
      </c>
      <c r="AZ392" s="21" t="n"/>
      <c r="BF392" s="21" t="n"/>
      <c r="BG392" s="21" t="n"/>
      <c r="BH392" s="22">
        <f>IFERROR(IF(AND(BF392&lt;&gt;"",BG392&lt;&gt;""),AVERAGE(BF392,BG392),""),"—")</f>
        <v/>
      </c>
      <c r="BK392" s="21" t="n"/>
      <c r="BM392" s="21" t="n"/>
      <c r="BN392" s="28">
        <f>IFERROR(IF(AND(BK392&lt;&gt;"",BM392&lt;&gt;""),IF(BM392&lt;BK392,1,0),""),"")</f>
        <v/>
      </c>
      <c r="BP392" s="21" t="n"/>
      <c r="BS392" s="29">
        <f>IFERROR(IF(AND(BH392&lt;&gt;"",BK392&lt;&gt;""),(BH392-BK392)/BK392,""),"—")</f>
        <v/>
      </c>
      <c r="BT392" s="29">
        <f>IFERROR(IF(AND(BH392&lt;&gt;"",BP392&lt;&gt;""),(BH392-BP392)/BP392,""),"—")</f>
        <v/>
      </c>
      <c r="BU392" s="29">
        <f>IFERROR(IF(AND(BK392&lt;&gt;"",BP392&lt;&gt;""),(BP392-BK392)/BK392,""),"—")</f>
        <v/>
      </c>
    </row>
    <row r="393">
      <c r="AK393" s="14">
        <f>IFERROR(IF(AND(AG393&lt;&gt;"",AH393&lt;&gt;""),AG393*AH393,IF(AI393&lt;&gt;"",AI393,IF(AJ393&lt;&gt;"",AJ393*43560,""))),"ERROR")</f>
        <v/>
      </c>
      <c r="AL393" s="15">
        <f>IFERROR(IF(AK393&lt;&gt;"",AK393/43560,""),"—")</f>
        <v/>
      </c>
      <c r="AN393" s="14">
        <f>IFERROR(IF(AL393="","",IF(AL393&lt;2,"Residential (&lt;2ac)",IF(AL393&lt;10,"Small Rural (2-10ac)",IF(AL393&lt;40,"Rural (10-40ac)",IF(AL393&lt;100,"Farm/Estate (40-100ac)","Large Farm (100+ac)"))))),"—")</f>
        <v/>
      </c>
      <c r="AZ393" s="21" t="n"/>
      <c r="BF393" s="21" t="n"/>
      <c r="BG393" s="21" t="n"/>
      <c r="BH393" s="22">
        <f>IFERROR(IF(AND(BF393&lt;&gt;"",BG393&lt;&gt;""),AVERAGE(BF393,BG393),""),"—")</f>
        <v/>
      </c>
      <c r="BK393" s="21" t="n"/>
      <c r="BM393" s="21" t="n"/>
      <c r="BN393" s="28">
        <f>IFERROR(IF(AND(BK393&lt;&gt;"",BM393&lt;&gt;""),IF(BM393&lt;BK393,1,0),""),"")</f>
        <v/>
      </c>
      <c r="BP393" s="21" t="n"/>
      <c r="BS393" s="29">
        <f>IFERROR(IF(AND(BH393&lt;&gt;"",BK393&lt;&gt;""),(BH393-BK393)/BK393,""),"—")</f>
        <v/>
      </c>
      <c r="BT393" s="29">
        <f>IFERROR(IF(AND(BH393&lt;&gt;"",BP393&lt;&gt;""),(BH393-BP393)/BP393,""),"—")</f>
        <v/>
      </c>
      <c r="BU393" s="29">
        <f>IFERROR(IF(AND(BK393&lt;&gt;"",BP393&lt;&gt;""),(BP393-BK393)/BK393,""),"—")</f>
        <v/>
      </c>
    </row>
    <row r="394">
      <c r="AK394" s="14">
        <f>IFERROR(IF(AND(AG394&lt;&gt;"",AH394&lt;&gt;""),AG394*AH394,IF(AI394&lt;&gt;"",AI394,IF(AJ394&lt;&gt;"",AJ394*43560,""))),"ERROR")</f>
        <v/>
      </c>
      <c r="AL394" s="15">
        <f>IFERROR(IF(AK394&lt;&gt;"",AK394/43560,""),"—")</f>
        <v/>
      </c>
      <c r="AN394" s="14">
        <f>IFERROR(IF(AL394="","",IF(AL394&lt;2,"Residential (&lt;2ac)",IF(AL394&lt;10,"Small Rural (2-10ac)",IF(AL394&lt;40,"Rural (10-40ac)",IF(AL394&lt;100,"Farm/Estate (40-100ac)","Large Farm (100+ac)"))))),"—")</f>
        <v/>
      </c>
      <c r="AZ394" s="21" t="n"/>
      <c r="BF394" s="21" t="n"/>
      <c r="BG394" s="21" t="n"/>
      <c r="BH394" s="22">
        <f>IFERROR(IF(AND(BF394&lt;&gt;"",BG394&lt;&gt;""),AVERAGE(BF394,BG394),""),"—")</f>
        <v/>
      </c>
      <c r="BK394" s="21" t="n"/>
      <c r="BM394" s="21" t="n"/>
      <c r="BN394" s="28">
        <f>IFERROR(IF(AND(BK394&lt;&gt;"",BM394&lt;&gt;""),IF(BM394&lt;BK394,1,0),""),"")</f>
        <v/>
      </c>
      <c r="BP394" s="21" t="n"/>
      <c r="BS394" s="29">
        <f>IFERROR(IF(AND(BH394&lt;&gt;"",BK394&lt;&gt;""),(BH394-BK394)/BK394,""),"—")</f>
        <v/>
      </c>
      <c r="BT394" s="29">
        <f>IFERROR(IF(AND(BH394&lt;&gt;"",BP394&lt;&gt;""),(BH394-BP394)/BP394,""),"—")</f>
        <v/>
      </c>
      <c r="BU394" s="29">
        <f>IFERROR(IF(AND(BK394&lt;&gt;"",BP394&lt;&gt;""),(BP394-BK394)/BK394,""),"—")</f>
        <v/>
      </c>
    </row>
    <row r="395">
      <c r="AK395" s="14">
        <f>IFERROR(IF(AND(AG395&lt;&gt;"",AH395&lt;&gt;""),AG395*AH395,IF(AI395&lt;&gt;"",AI395,IF(AJ395&lt;&gt;"",AJ395*43560,""))),"ERROR")</f>
        <v/>
      </c>
      <c r="AL395" s="15">
        <f>IFERROR(IF(AK395&lt;&gt;"",AK395/43560,""),"—")</f>
        <v/>
      </c>
      <c r="AN395" s="14">
        <f>IFERROR(IF(AL395="","",IF(AL395&lt;2,"Residential (&lt;2ac)",IF(AL395&lt;10,"Small Rural (2-10ac)",IF(AL395&lt;40,"Rural (10-40ac)",IF(AL395&lt;100,"Farm/Estate (40-100ac)","Large Farm (100+ac)"))))),"—")</f>
        <v/>
      </c>
      <c r="AZ395" s="21" t="n"/>
      <c r="BF395" s="21" t="n"/>
      <c r="BG395" s="21" t="n"/>
      <c r="BH395" s="22">
        <f>IFERROR(IF(AND(BF395&lt;&gt;"",BG395&lt;&gt;""),AVERAGE(BF395,BG395),""),"—")</f>
        <v/>
      </c>
      <c r="BK395" s="21" t="n"/>
      <c r="BM395" s="21" t="n"/>
      <c r="BN395" s="28">
        <f>IFERROR(IF(AND(BK395&lt;&gt;"",BM395&lt;&gt;""),IF(BM395&lt;BK395,1,0),""),"")</f>
        <v/>
      </c>
      <c r="BP395" s="21" t="n"/>
      <c r="BS395" s="29">
        <f>IFERROR(IF(AND(BH395&lt;&gt;"",BK395&lt;&gt;""),(BH395-BK395)/BK395,""),"—")</f>
        <v/>
      </c>
      <c r="BT395" s="29">
        <f>IFERROR(IF(AND(BH395&lt;&gt;"",BP395&lt;&gt;""),(BH395-BP395)/BP395,""),"—")</f>
        <v/>
      </c>
      <c r="BU395" s="29">
        <f>IFERROR(IF(AND(BK395&lt;&gt;"",BP395&lt;&gt;""),(BP395-BK395)/BK395,""),"—")</f>
        <v/>
      </c>
    </row>
    <row r="396">
      <c r="AK396" s="14">
        <f>IFERROR(IF(AND(AG396&lt;&gt;"",AH396&lt;&gt;""),AG396*AH396,IF(AI396&lt;&gt;"",AI396,IF(AJ396&lt;&gt;"",AJ396*43560,""))),"ERROR")</f>
        <v/>
      </c>
      <c r="AL396" s="15">
        <f>IFERROR(IF(AK396&lt;&gt;"",AK396/43560,""),"—")</f>
        <v/>
      </c>
      <c r="AN396" s="14">
        <f>IFERROR(IF(AL396="","",IF(AL396&lt;2,"Residential (&lt;2ac)",IF(AL396&lt;10,"Small Rural (2-10ac)",IF(AL396&lt;40,"Rural (10-40ac)",IF(AL396&lt;100,"Farm/Estate (40-100ac)","Large Farm (100+ac)"))))),"—")</f>
        <v/>
      </c>
      <c r="AZ396" s="21" t="n"/>
      <c r="BF396" s="21" t="n"/>
      <c r="BG396" s="21" t="n"/>
      <c r="BH396" s="22">
        <f>IFERROR(IF(AND(BF396&lt;&gt;"",BG396&lt;&gt;""),AVERAGE(BF396,BG396),""),"—")</f>
        <v/>
      </c>
      <c r="BK396" s="21" t="n"/>
      <c r="BM396" s="21" t="n"/>
      <c r="BN396" s="28">
        <f>IFERROR(IF(AND(BK396&lt;&gt;"",BM396&lt;&gt;""),IF(BM396&lt;BK396,1,0),""),"")</f>
        <v/>
      </c>
      <c r="BP396" s="21" t="n"/>
      <c r="BS396" s="29">
        <f>IFERROR(IF(AND(BH396&lt;&gt;"",BK396&lt;&gt;""),(BH396-BK396)/BK396,""),"—")</f>
        <v/>
      </c>
      <c r="BT396" s="29">
        <f>IFERROR(IF(AND(BH396&lt;&gt;"",BP396&lt;&gt;""),(BH396-BP396)/BP396,""),"—")</f>
        <v/>
      </c>
      <c r="BU396" s="29">
        <f>IFERROR(IF(AND(BK396&lt;&gt;"",BP396&lt;&gt;""),(BP396-BK396)/BK396,""),"—")</f>
        <v/>
      </c>
    </row>
    <row r="397">
      <c r="AK397" s="14">
        <f>IFERROR(IF(AND(AG397&lt;&gt;"",AH397&lt;&gt;""),AG397*AH397,IF(AI397&lt;&gt;"",AI397,IF(AJ397&lt;&gt;"",AJ397*43560,""))),"ERROR")</f>
        <v/>
      </c>
      <c r="AL397" s="15">
        <f>IFERROR(IF(AK397&lt;&gt;"",AK397/43560,""),"—")</f>
        <v/>
      </c>
      <c r="AN397" s="14">
        <f>IFERROR(IF(AL397="","",IF(AL397&lt;2,"Residential (&lt;2ac)",IF(AL397&lt;10,"Small Rural (2-10ac)",IF(AL397&lt;40,"Rural (10-40ac)",IF(AL397&lt;100,"Farm/Estate (40-100ac)","Large Farm (100+ac)"))))),"—")</f>
        <v/>
      </c>
      <c r="AZ397" s="21" t="n"/>
      <c r="BF397" s="21" t="n"/>
      <c r="BG397" s="21" t="n"/>
      <c r="BH397" s="22">
        <f>IFERROR(IF(AND(BF397&lt;&gt;"",BG397&lt;&gt;""),AVERAGE(BF397,BG397),""),"—")</f>
        <v/>
      </c>
      <c r="BK397" s="21" t="n"/>
      <c r="BM397" s="21" t="n"/>
      <c r="BN397" s="28">
        <f>IFERROR(IF(AND(BK397&lt;&gt;"",BM397&lt;&gt;""),IF(BM397&lt;BK397,1,0),""),"")</f>
        <v/>
      </c>
      <c r="BP397" s="21" t="n"/>
      <c r="BS397" s="29">
        <f>IFERROR(IF(AND(BH397&lt;&gt;"",BK397&lt;&gt;""),(BH397-BK397)/BK397,""),"—")</f>
        <v/>
      </c>
      <c r="BT397" s="29">
        <f>IFERROR(IF(AND(BH397&lt;&gt;"",BP397&lt;&gt;""),(BH397-BP397)/BP397,""),"—")</f>
        <v/>
      </c>
      <c r="BU397" s="29">
        <f>IFERROR(IF(AND(BK397&lt;&gt;"",BP397&lt;&gt;""),(BP397-BK397)/BK397,""),"—")</f>
        <v/>
      </c>
    </row>
    <row r="398">
      <c r="AK398" s="14">
        <f>IFERROR(IF(AND(AG398&lt;&gt;"",AH398&lt;&gt;""),AG398*AH398,IF(AI398&lt;&gt;"",AI398,IF(AJ398&lt;&gt;"",AJ398*43560,""))),"ERROR")</f>
        <v/>
      </c>
      <c r="AL398" s="15">
        <f>IFERROR(IF(AK398&lt;&gt;"",AK398/43560,""),"—")</f>
        <v/>
      </c>
      <c r="AN398" s="14">
        <f>IFERROR(IF(AL398="","",IF(AL398&lt;2,"Residential (&lt;2ac)",IF(AL398&lt;10,"Small Rural (2-10ac)",IF(AL398&lt;40,"Rural (10-40ac)",IF(AL398&lt;100,"Farm/Estate (40-100ac)","Large Farm (100+ac)"))))),"—")</f>
        <v/>
      </c>
      <c r="AZ398" s="21" t="n"/>
      <c r="BF398" s="21" t="n"/>
      <c r="BG398" s="21" t="n"/>
      <c r="BH398" s="22">
        <f>IFERROR(IF(AND(BF398&lt;&gt;"",BG398&lt;&gt;""),AVERAGE(BF398,BG398),""),"—")</f>
        <v/>
      </c>
      <c r="BK398" s="21" t="n"/>
      <c r="BM398" s="21" t="n"/>
      <c r="BN398" s="28">
        <f>IFERROR(IF(AND(BK398&lt;&gt;"",BM398&lt;&gt;""),IF(BM398&lt;BK398,1,0),""),"")</f>
        <v/>
      </c>
      <c r="BP398" s="21" t="n"/>
      <c r="BS398" s="29">
        <f>IFERROR(IF(AND(BH398&lt;&gt;"",BK398&lt;&gt;""),(BH398-BK398)/BK398,""),"—")</f>
        <v/>
      </c>
      <c r="BT398" s="29">
        <f>IFERROR(IF(AND(BH398&lt;&gt;"",BP398&lt;&gt;""),(BH398-BP398)/BP398,""),"—")</f>
        <v/>
      </c>
      <c r="BU398" s="29">
        <f>IFERROR(IF(AND(BK398&lt;&gt;"",BP398&lt;&gt;""),(BP398-BK398)/BK398,""),"—")</f>
        <v/>
      </c>
    </row>
    <row r="399">
      <c r="AK399" s="14">
        <f>IFERROR(IF(AND(AG399&lt;&gt;"",AH399&lt;&gt;""),AG399*AH399,IF(AI399&lt;&gt;"",AI399,IF(AJ399&lt;&gt;"",AJ399*43560,""))),"ERROR")</f>
        <v/>
      </c>
      <c r="AL399" s="15">
        <f>IFERROR(IF(AK399&lt;&gt;"",AK399/43560,""),"—")</f>
        <v/>
      </c>
      <c r="AN399" s="14">
        <f>IFERROR(IF(AL399="","",IF(AL399&lt;2,"Residential (&lt;2ac)",IF(AL399&lt;10,"Small Rural (2-10ac)",IF(AL399&lt;40,"Rural (10-40ac)",IF(AL399&lt;100,"Farm/Estate (40-100ac)","Large Farm (100+ac)"))))),"—")</f>
        <v/>
      </c>
      <c r="AZ399" s="21" t="n"/>
      <c r="BF399" s="21" t="n"/>
      <c r="BG399" s="21" t="n"/>
      <c r="BH399" s="22">
        <f>IFERROR(IF(AND(BF399&lt;&gt;"",BG399&lt;&gt;""),AVERAGE(BF399,BG399),""),"—")</f>
        <v/>
      </c>
      <c r="BK399" s="21" t="n"/>
      <c r="BM399" s="21" t="n"/>
      <c r="BN399" s="28">
        <f>IFERROR(IF(AND(BK399&lt;&gt;"",BM399&lt;&gt;""),IF(BM399&lt;BK399,1,0),""),"")</f>
        <v/>
      </c>
      <c r="BP399" s="21" t="n"/>
      <c r="BS399" s="29">
        <f>IFERROR(IF(AND(BH399&lt;&gt;"",BK399&lt;&gt;""),(BH399-BK399)/BK399,""),"—")</f>
        <v/>
      </c>
      <c r="BT399" s="29">
        <f>IFERROR(IF(AND(BH399&lt;&gt;"",BP399&lt;&gt;""),(BH399-BP399)/BP399,""),"—")</f>
        <v/>
      </c>
      <c r="BU399" s="29">
        <f>IFERROR(IF(AND(BK399&lt;&gt;"",BP399&lt;&gt;""),(BP399-BK399)/BK399,""),"—")</f>
        <v/>
      </c>
    </row>
    <row r="400">
      <c r="AK400" s="14">
        <f>IFERROR(IF(AND(AG400&lt;&gt;"",AH400&lt;&gt;""),AG400*AH400,IF(AI400&lt;&gt;"",AI400,IF(AJ400&lt;&gt;"",AJ400*43560,""))),"ERROR")</f>
        <v/>
      </c>
      <c r="AL400" s="15">
        <f>IFERROR(IF(AK400&lt;&gt;"",AK400/43560,""),"—")</f>
        <v/>
      </c>
      <c r="AN400" s="14">
        <f>IFERROR(IF(AL400="","",IF(AL400&lt;2,"Residential (&lt;2ac)",IF(AL400&lt;10,"Small Rural (2-10ac)",IF(AL400&lt;40,"Rural (10-40ac)",IF(AL400&lt;100,"Farm/Estate (40-100ac)","Large Farm (100+ac)"))))),"—")</f>
        <v/>
      </c>
      <c r="AZ400" s="21" t="n"/>
      <c r="BF400" s="21" t="n"/>
      <c r="BG400" s="21" t="n"/>
      <c r="BH400" s="22">
        <f>IFERROR(IF(AND(BF400&lt;&gt;"",BG400&lt;&gt;""),AVERAGE(BF400,BG400),""),"—")</f>
        <v/>
      </c>
      <c r="BK400" s="21" t="n"/>
      <c r="BM400" s="21" t="n"/>
      <c r="BN400" s="28">
        <f>IFERROR(IF(AND(BK400&lt;&gt;"",BM400&lt;&gt;""),IF(BM400&lt;BK400,1,0),""),"")</f>
        <v/>
      </c>
      <c r="BP400" s="21" t="n"/>
      <c r="BS400" s="29">
        <f>IFERROR(IF(AND(BH400&lt;&gt;"",BK400&lt;&gt;""),(BH400-BK400)/BK400,""),"—")</f>
        <v/>
      </c>
      <c r="BT400" s="29">
        <f>IFERROR(IF(AND(BH400&lt;&gt;"",BP400&lt;&gt;""),(BH400-BP400)/BP400,""),"—")</f>
        <v/>
      </c>
      <c r="BU400" s="29">
        <f>IFERROR(IF(AND(BK400&lt;&gt;"",BP400&lt;&gt;""),(BP400-BK400)/BK400,""),"—")</f>
        <v/>
      </c>
    </row>
    <row r="401">
      <c r="AK401" s="14">
        <f>IFERROR(IF(AND(AG401&lt;&gt;"",AH401&lt;&gt;""),AG401*AH401,IF(AI401&lt;&gt;"",AI401,IF(AJ401&lt;&gt;"",AJ401*43560,""))),"ERROR")</f>
        <v/>
      </c>
      <c r="AL401" s="15">
        <f>IFERROR(IF(AK401&lt;&gt;"",AK401/43560,""),"—")</f>
        <v/>
      </c>
      <c r="AN401" s="14">
        <f>IFERROR(IF(AL401="","",IF(AL401&lt;2,"Residential (&lt;2ac)",IF(AL401&lt;10,"Small Rural (2-10ac)",IF(AL401&lt;40,"Rural (10-40ac)",IF(AL401&lt;100,"Farm/Estate (40-100ac)","Large Farm (100+ac)"))))),"—")</f>
        <v/>
      </c>
      <c r="AZ401" s="21" t="n"/>
      <c r="BF401" s="21" t="n"/>
      <c r="BG401" s="21" t="n"/>
      <c r="BH401" s="22">
        <f>IFERROR(IF(AND(BF401&lt;&gt;"",BG401&lt;&gt;""),AVERAGE(BF401,BG401),""),"—")</f>
        <v/>
      </c>
      <c r="BK401" s="21" t="n"/>
      <c r="BM401" s="21" t="n"/>
      <c r="BN401" s="28">
        <f>IFERROR(IF(AND(BK401&lt;&gt;"",BM401&lt;&gt;""),IF(BM401&lt;BK401,1,0),""),"")</f>
        <v/>
      </c>
      <c r="BP401" s="21" t="n"/>
      <c r="BS401" s="29">
        <f>IFERROR(IF(AND(BH401&lt;&gt;"",BK401&lt;&gt;""),(BH401-BK401)/BK401,""),"—")</f>
        <v/>
      </c>
      <c r="BT401" s="29">
        <f>IFERROR(IF(AND(BH401&lt;&gt;"",BP401&lt;&gt;""),(BH401-BP401)/BP401,""),"—")</f>
        <v/>
      </c>
      <c r="BU401" s="29">
        <f>IFERROR(IF(AND(BK401&lt;&gt;"",BP401&lt;&gt;""),(BP401-BK401)/BK401,""),"—")</f>
        <v/>
      </c>
    </row>
    <row r="402">
      <c r="AK402" s="14">
        <f>IFERROR(IF(AND(AG402&lt;&gt;"",AH402&lt;&gt;""),AG402*AH402,IF(AI402&lt;&gt;"",AI402,IF(AJ402&lt;&gt;"",AJ402*43560,""))),"ERROR")</f>
        <v/>
      </c>
      <c r="AL402" s="15">
        <f>IFERROR(IF(AK402&lt;&gt;"",AK402/43560,""),"—")</f>
        <v/>
      </c>
      <c r="AN402" s="14">
        <f>IFERROR(IF(AL402="","",IF(AL402&lt;2,"Residential (&lt;2ac)",IF(AL402&lt;10,"Small Rural (2-10ac)",IF(AL402&lt;40,"Rural (10-40ac)",IF(AL402&lt;100,"Farm/Estate (40-100ac)","Large Farm (100+ac)"))))),"—")</f>
        <v/>
      </c>
      <c r="AZ402" s="21" t="n"/>
      <c r="BF402" s="21" t="n"/>
      <c r="BG402" s="21" t="n"/>
      <c r="BH402" s="22">
        <f>IFERROR(IF(AND(BF402&lt;&gt;"",BG402&lt;&gt;""),AVERAGE(BF402,BG402),""),"—")</f>
        <v/>
      </c>
      <c r="BK402" s="21" t="n"/>
      <c r="BM402" s="21" t="n"/>
      <c r="BN402" s="28">
        <f>IFERROR(IF(AND(BK402&lt;&gt;"",BM402&lt;&gt;""),IF(BM402&lt;BK402,1,0),""),"")</f>
        <v/>
      </c>
      <c r="BP402" s="21" t="n"/>
      <c r="BS402" s="29">
        <f>IFERROR(IF(AND(BH402&lt;&gt;"",BK402&lt;&gt;""),(BH402-BK402)/BK402,""),"—")</f>
        <v/>
      </c>
      <c r="BT402" s="29">
        <f>IFERROR(IF(AND(BH402&lt;&gt;"",BP402&lt;&gt;""),(BH402-BP402)/BP402,""),"—")</f>
        <v/>
      </c>
      <c r="BU402" s="29">
        <f>IFERROR(IF(AND(BK402&lt;&gt;"",BP402&lt;&gt;""),(BP402-BK402)/BK402,""),"—")</f>
        <v/>
      </c>
    </row>
    <row r="403">
      <c r="AK403" s="14">
        <f>IFERROR(IF(AND(AG403&lt;&gt;"",AH403&lt;&gt;""),AG403*AH403,IF(AI403&lt;&gt;"",AI403,IF(AJ403&lt;&gt;"",AJ403*43560,""))),"ERROR")</f>
        <v/>
      </c>
      <c r="AL403" s="15">
        <f>IFERROR(IF(AK403&lt;&gt;"",AK403/43560,""),"—")</f>
        <v/>
      </c>
      <c r="AN403" s="14">
        <f>IFERROR(IF(AL403="","",IF(AL403&lt;2,"Residential (&lt;2ac)",IF(AL403&lt;10,"Small Rural (2-10ac)",IF(AL403&lt;40,"Rural (10-40ac)",IF(AL403&lt;100,"Farm/Estate (40-100ac)","Large Farm (100+ac)"))))),"—")</f>
        <v/>
      </c>
      <c r="AZ403" s="21" t="n"/>
      <c r="BF403" s="21" t="n"/>
      <c r="BG403" s="21" t="n"/>
      <c r="BH403" s="22">
        <f>IFERROR(IF(AND(BF403&lt;&gt;"",BG403&lt;&gt;""),AVERAGE(BF403,BG403),""),"—")</f>
        <v/>
      </c>
      <c r="BK403" s="21" t="n"/>
      <c r="BM403" s="21" t="n"/>
      <c r="BN403" s="28">
        <f>IFERROR(IF(AND(BK403&lt;&gt;"",BM403&lt;&gt;""),IF(BM403&lt;BK403,1,0),""),"")</f>
        <v/>
      </c>
      <c r="BP403" s="21" t="n"/>
      <c r="BS403" s="29">
        <f>IFERROR(IF(AND(BH403&lt;&gt;"",BK403&lt;&gt;""),(BH403-BK403)/BK403,""),"—")</f>
        <v/>
      </c>
      <c r="BT403" s="29">
        <f>IFERROR(IF(AND(BH403&lt;&gt;"",BP403&lt;&gt;""),(BH403-BP403)/BP403,""),"—")</f>
        <v/>
      </c>
      <c r="BU403" s="29">
        <f>IFERROR(IF(AND(BK403&lt;&gt;"",BP403&lt;&gt;""),(BP403-BK403)/BK403,""),"—")</f>
        <v/>
      </c>
    </row>
    <row r="404">
      <c r="AK404" s="14">
        <f>IFERROR(IF(AND(AG404&lt;&gt;"",AH404&lt;&gt;""),AG404*AH404,IF(AI404&lt;&gt;"",AI404,IF(AJ404&lt;&gt;"",AJ404*43560,""))),"ERROR")</f>
        <v/>
      </c>
      <c r="AL404" s="15">
        <f>IFERROR(IF(AK404&lt;&gt;"",AK404/43560,""),"—")</f>
        <v/>
      </c>
      <c r="AN404" s="14">
        <f>IFERROR(IF(AL404="","",IF(AL404&lt;2,"Residential (&lt;2ac)",IF(AL404&lt;10,"Small Rural (2-10ac)",IF(AL404&lt;40,"Rural (10-40ac)",IF(AL404&lt;100,"Farm/Estate (40-100ac)","Large Farm (100+ac)"))))),"—")</f>
        <v/>
      </c>
      <c r="AZ404" s="21" t="n"/>
      <c r="BF404" s="21" t="n"/>
      <c r="BG404" s="21" t="n"/>
      <c r="BH404" s="22">
        <f>IFERROR(IF(AND(BF404&lt;&gt;"",BG404&lt;&gt;""),AVERAGE(BF404,BG404),""),"—")</f>
        <v/>
      </c>
      <c r="BK404" s="21" t="n"/>
      <c r="BM404" s="21" t="n"/>
      <c r="BN404" s="28">
        <f>IFERROR(IF(AND(BK404&lt;&gt;"",BM404&lt;&gt;""),IF(BM404&lt;BK404,1,0),""),"")</f>
        <v/>
      </c>
      <c r="BP404" s="21" t="n"/>
      <c r="BS404" s="29">
        <f>IFERROR(IF(AND(BH404&lt;&gt;"",BK404&lt;&gt;""),(BH404-BK404)/BK404,""),"—")</f>
        <v/>
      </c>
      <c r="BT404" s="29">
        <f>IFERROR(IF(AND(BH404&lt;&gt;"",BP404&lt;&gt;""),(BH404-BP404)/BP404,""),"—")</f>
        <v/>
      </c>
      <c r="BU404" s="29">
        <f>IFERROR(IF(AND(BK404&lt;&gt;"",BP404&lt;&gt;""),(BP404-BK404)/BK404,""),"—")</f>
        <v/>
      </c>
    </row>
    <row r="405">
      <c r="AK405" s="14">
        <f>IFERROR(IF(AND(AG405&lt;&gt;"",AH405&lt;&gt;""),AG405*AH405,IF(AI405&lt;&gt;"",AI405,IF(AJ405&lt;&gt;"",AJ405*43560,""))),"ERROR")</f>
        <v/>
      </c>
      <c r="AL405" s="15">
        <f>IFERROR(IF(AK405&lt;&gt;"",AK405/43560,""),"—")</f>
        <v/>
      </c>
      <c r="AN405" s="14">
        <f>IFERROR(IF(AL405="","",IF(AL405&lt;2,"Residential (&lt;2ac)",IF(AL405&lt;10,"Small Rural (2-10ac)",IF(AL405&lt;40,"Rural (10-40ac)",IF(AL405&lt;100,"Farm/Estate (40-100ac)","Large Farm (100+ac)"))))),"—")</f>
        <v/>
      </c>
      <c r="AZ405" s="21" t="n"/>
      <c r="BF405" s="21" t="n"/>
      <c r="BG405" s="21" t="n"/>
      <c r="BH405" s="22">
        <f>IFERROR(IF(AND(BF405&lt;&gt;"",BG405&lt;&gt;""),AVERAGE(BF405,BG405),""),"—")</f>
        <v/>
      </c>
      <c r="BK405" s="21" t="n"/>
      <c r="BM405" s="21" t="n"/>
      <c r="BN405" s="28">
        <f>IFERROR(IF(AND(BK405&lt;&gt;"",BM405&lt;&gt;""),IF(BM405&lt;BK405,1,0),""),"")</f>
        <v/>
      </c>
      <c r="BP405" s="21" t="n"/>
      <c r="BS405" s="29">
        <f>IFERROR(IF(AND(BH405&lt;&gt;"",BK405&lt;&gt;""),(BH405-BK405)/BK405,""),"—")</f>
        <v/>
      </c>
      <c r="BT405" s="29">
        <f>IFERROR(IF(AND(BH405&lt;&gt;"",BP405&lt;&gt;""),(BH405-BP405)/BP405,""),"—")</f>
        <v/>
      </c>
      <c r="BU405" s="29">
        <f>IFERROR(IF(AND(BK405&lt;&gt;"",BP405&lt;&gt;""),(BP405-BK405)/BK405,""),"—")</f>
        <v/>
      </c>
    </row>
    <row r="406">
      <c r="AK406" s="14">
        <f>IFERROR(IF(AND(AG406&lt;&gt;"",AH406&lt;&gt;""),AG406*AH406,IF(AI406&lt;&gt;"",AI406,IF(AJ406&lt;&gt;"",AJ406*43560,""))),"ERROR")</f>
        <v/>
      </c>
      <c r="AL406" s="15">
        <f>IFERROR(IF(AK406&lt;&gt;"",AK406/43560,""),"—")</f>
        <v/>
      </c>
      <c r="AN406" s="14">
        <f>IFERROR(IF(AL406="","",IF(AL406&lt;2,"Residential (&lt;2ac)",IF(AL406&lt;10,"Small Rural (2-10ac)",IF(AL406&lt;40,"Rural (10-40ac)",IF(AL406&lt;100,"Farm/Estate (40-100ac)","Large Farm (100+ac)"))))),"—")</f>
        <v/>
      </c>
      <c r="AZ406" s="21" t="n"/>
      <c r="BF406" s="21" t="n"/>
      <c r="BG406" s="21" t="n"/>
      <c r="BH406" s="22">
        <f>IFERROR(IF(AND(BF406&lt;&gt;"",BG406&lt;&gt;""),AVERAGE(BF406,BG406),""),"—")</f>
        <v/>
      </c>
      <c r="BK406" s="21" t="n"/>
      <c r="BM406" s="21" t="n"/>
      <c r="BN406" s="28">
        <f>IFERROR(IF(AND(BK406&lt;&gt;"",BM406&lt;&gt;""),IF(BM406&lt;BK406,1,0),""),"")</f>
        <v/>
      </c>
      <c r="BP406" s="21" t="n"/>
      <c r="BS406" s="29">
        <f>IFERROR(IF(AND(BH406&lt;&gt;"",BK406&lt;&gt;""),(BH406-BK406)/BK406,""),"—")</f>
        <v/>
      </c>
      <c r="BT406" s="29">
        <f>IFERROR(IF(AND(BH406&lt;&gt;"",BP406&lt;&gt;""),(BH406-BP406)/BP406,""),"—")</f>
        <v/>
      </c>
      <c r="BU406" s="29">
        <f>IFERROR(IF(AND(BK406&lt;&gt;"",BP406&lt;&gt;""),(BP406-BK406)/BK406,""),"—")</f>
        <v/>
      </c>
    </row>
    <row r="407">
      <c r="AK407" s="14">
        <f>IFERROR(IF(AND(AG407&lt;&gt;"",AH407&lt;&gt;""),AG407*AH407,IF(AI407&lt;&gt;"",AI407,IF(AJ407&lt;&gt;"",AJ407*43560,""))),"ERROR")</f>
        <v/>
      </c>
      <c r="AL407" s="15">
        <f>IFERROR(IF(AK407&lt;&gt;"",AK407/43560,""),"—")</f>
        <v/>
      </c>
      <c r="AN407" s="14">
        <f>IFERROR(IF(AL407="","",IF(AL407&lt;2,"Residential (&lt;2ac)",IF(AL407&lt;10,"Small Rural (2-10ac)",IF(AL407&lt;40,"Rural (10-40ac)",IF(AL407&lt;100,"Farm/Estate (40-100ac)","Large Farm (100+ac)"))))),"—")</f>
        <v/>
      </c>
      <c r="AZ407" s="21" t="n"/>
      <c r="BF407" s="21" t="n"/>
      <c r="BG407" s="21" t="n"/>
      <c r="BH407" s="22">
        <f>IFERROR(IF(AND(BF407&lt;&gt;"",BG407&lt;&gt;""),AVERAGE(BF407,BG407),""),"—")</f>
        <v/>
      </c>
      <c r="BK407" s="21" t="n"/>
      <c r="BM407" s="21" t="n"/>
      <c r="BN407" s="28">
        <f>IFERROR(IF(AND(BK407&lt;&gt;"",BM407&lt;&gt;""),IF(BM407&lt;BK407,1,0),""),"")</f>
        <v/>
      </c>
      <c r="BP407" s="21" t="n"/>
      <c r="BS407" s="29">
        <f>IFERROR(IF(AND(BH407&lt;&gt;"",BK407&lt;&gt;""),(BH407-BK407)/BK407,""),"—")</f>
        <v/>
      </c>
      <c r="BT407" s="29">
        <f>IFERROR(IF(AND(BH407&lt;&gt;"",BP407&lt;&gt;""),(BH407-BP407)/BP407,""),"—")</f>
        <v/>
      </c>
      <c r="BU407" s="29">
        <f>IFERROR(IF(AND(BK407&lt;&gt;"",BP407&lt;&gt;""),(BP407-BK407)/BK407,""),"—")</f>
        <v/>
      </c>
    </row>
    <row r="408">
      <c r="AK408" s="14">
        <f>IFERROR(IF(AND(AG408&lt;&gt;"",AH408&lt;&gt;""),AG408*AH408,IF(AI408&lt;&gt;"",AI408,IF(AJ408&lt;&gt;"",AJ408*43560,""))),"ERROR")</f>
        <v/>
      </c>
      <c r="AL408" s="15">
        <f>IFERROR(IF(AK408&lt;&gt;"",AK408/43560,""),"—")</f>
        <v/>
      </c>
      <c r="AN408" s="14">
        <f>IFERROR(IF(AL408="","",IF(AL408&lt;2,"Residential (&lt;2ac)",IF(AL408&lt;10,"Small Rural (2-10ac)",IF(AL408&lt;40,"Rural (10-40ac)",IF(AL408&lt;100,"Farm/Estate (40-100ac)","Large Farm (100+ac)"))))),"—")</f>
        <v/>
      </c>
      <c r="AZ408" s="21" t="n"/>
      <c r="BF408" s="21" t="n"/>
      <c r="BG408" s="21" t="n"/>
      <c r="BH408" s="22">
        <f>IFERROR(IF(AND(BF408&lt;&gt;"",BG408&lt;&gt;""),AVERAGE(BF408,BG408),""),"—")</f>
        <v/>
      </c>
      <c r="BK408" s="21" t="n"/>
      <c r="BM408" s="21" t="n"/>
      <c r="BN408" s="28">
        <f>IFERROR(IF(AND(BK408&lt;&gt;"",BM408&lt;&gt;""),IF(BM408&lt;BK408,1,0),""),"")</f>
        <v/>
      </c>
      <c r="BP408" s="21" t="n"/>
      <c r="BS408" s="29">
        <f>IFERROR(IF(AND(BH408&lt;&gt;"",BK408&lt;&gt;""),(BH408-BK408)/BK408,""),"—")</f>
        <v/>
      </c>
      <c r="BT408" s="29">
        <f>IFERROR(IF(AND(BH408&lt;&gt;"",BP408&lt;&gt;""),(BH408-BP408)/BP408,""),"—")</f>
        <v/>
      </c>
      <c r="BU408" s="29">
        <f>IFERROR(IF(AND(BK408&lt;&gt;"",BP408&lt;&gt;""),(BP408-BK408)/BK408,""),"—")</f>
        <v/>
      </c>
    </row>
    <row r="409">
      <c r="AK409" s="14">
        <f>IFERROR(IF(AND(AG409&lt;&gt;"",AH409&lt;&gt;""),AG409*AH409,IF(AI409&lt;&gt;"",AI409,IF(AJ409&lt;&gt;"",AJ409*43560,""))),"ERROR")</f>
        <v/>
      </c>
      <c r="AL409" s="15">
        <f>IFERROR(IF(AK409&lt;&gt;"",AK409/43560,""),"—")</f>
        <v/>
      </c>
      <c r="AN409" s="14">
        <f>IFERROR(IF(AL409="","",IF(AL409&lt;2,"Residential (&lt;2ac)",IF(AL409&lt;10,"Small Rural (2-10ac)",IF(AL409&lt;40,"Rural (10-40ac)",IF(AL409&lt;100,"Farm/Estate (40-100ac)","Large Farm (100+ac)"))))),"—")</f>
        <v/>
      </c>
      <c r="AZ409" s="21" t="n"/>
      <c r="BF409" s="21" t="n"/>
      <c r="BG409" s="21" t="n"/>
      <c r="BH409" s="22">
        <f>IFERROR(IF(AND(BF409&lt;&gt;"",BG409&lt;&gt;""),AVERAGE(BF409,BG409),""),"—")</f>
        <v/>
      </c>
      <c r="BK409" s="21" t="n"/>
      <c r="BM409" s="21" t="n"/>
      <c r="BN409" s="28">
        <f>IFERROR(IF(AND(BK409&lt;&gt;"",BM409&lt;&gt;""),IF(BM409&lt;BK409,1,0),""),"")</f>
        <v/>
      </c>
      <c r="BP409" s="21" t="n"/>
      <c r="BS409" s="29">
        <f>IFERROR(IF(AND(BH409&lt;&gt;"",BK409&lt;&gt;""),(BH409-BK409)/BK409,""),"—")</f>
        <v/>
      </c>
      <c r="BT409" s="29">
        <f>IFERROR(IF(AND(BH409&lt;&gt;"",BP409&lt;&gt;""),(BH409-BP409)/BP409,""),"—")</f>
        <v/>
      </c>
      <c r="BU409" s="29">
        <f>IFERROR(IF(AND(BK409&lt;&gt;"",BP409&lt;&gt;""),(BP409-BK409)/BK409,""),"—")</f>
        <v/>
      </c>
    </row>
    <row r="410">
      <c r="AK410" s="14">
        <f>IFERROR(IF(AND(AG410&lt;&gt;"",AH410&lt;&gt;""),AG410*AH410,IF(AI410&lt;&gt;"",AI410,IF(AJ410&lt;&gt;"",AJ410*43560,""))),"ERROR")</f>
        <v/>
      </c>
      <c r="AL410" s="15">
        <f>IFERROR(IF(AK410&lt;&gt;"",AK410/43560,""),"—")</f>
        <v/>
      </c>
      <c r="AN410" s="14">
        <f>IFERROR(IF(AL410="","",IF(AL410&lt;2,"Residential (&lt;2ac)",IF(AL410&lt;10,"Small Rural (2-10ac)",IF(AL410&lt;40,"Rural (10-40ac)",IF(AL410&lt;100,"Farm/Estate (40-100ac)","Large Farm (100+ac)"))))),"—")</f>
        <v/>
      </c>
      <c r="AZ410" s="21" t="n"/>
      <c r="BF410" s="21" t="n"/>
      <c r="BG410" s="21" t="n"/>
      <c r="BH410" s="22">
        <f>IFERROR(IF(AND(BF410&lt;&gt;"",BG410&lt;&gt;""),AVERAGE(BF410,BG410),""),"—")</f>
        <v/>
      </c>
      <c r="BK410" s="21" t="n"/>
      <c r="BM410" s="21" t="n"/>
      <c r="BN410" s="28">
        <f>IFERROR(IF(AND(BK410&lt;&gt;"",BM410&lt;&gt;""),IF(BM410&lt;BK410,1,0),""),"")</f>
        <v/>
      </c>
      <c r="BP410" s="21" t="n"/>
      <c r="BS410" s="29">
        <f>IFERROR(IF(AND(BH410&lt;&gt;"",BK410&lt;&gt;""),(BH410-BK410)/BK410,""),"—")</f>
        <v/>
      </c>
      <c r="BT410" s="29">
        <f>IFERROR(IF(AND(BH410&lt;&gt;"",BP410&lt;&gt;""),(BH410-BP410)/BP410,""),"—")</f>
        <v/>
      </c>
      <c r="BU410" s="29">
        <f>IFERROR(IF(AND(BK410&lt;&gt;"",BP410&lt;&gt;""),(BP410-BK410)/BK410,""),"—")</f>
        <v/>
      </c>
    </row>
    <row r="411">
      <c r="AK411" s="14">
        <f>IFERROR(IF(AND(AG411&lt;&gt;"",AH411&lt;&gt;""),AG411*AH411,IF(AI411&lt;&gt;"",AI411,IF(AJ411&lt;&gt;"",AJ411*43560,""))),"ERROR")</f>
        <v/>
      </c>
      <c r="AL411" s="15">
        <f>IFERROR(IF(AK411&lt;&gt;"",AK411/43560,""),"—")</f>
        <v/>
      </c>
      <c r="AN411" s="14">
        <f>IFERROR(IF(AL411="","",IF(AL411&lt;2,"Residential (&lt;2ac)",IF(AL411&lt;10,"Small Rural (2-10ac)",IF(AL411&lt;40,"Rural (10-40ac)",IF(AL411&lt;100,"Farm/Estate (40-100ac)","Large Farm (100+ac)"))))),"—")</f>
        <v/>
      </c>
      <c r="AZ411" s="21" t="n"/>
      <c r="BF411" s="21" t="n"/>
      <c r="BG411" s="21" t="n"/>
      <c r="BH411" s="22">
        <f>IFERROR(IF(AND(BF411&lt;&gt;"",BG411&lt;&gt;""),AVERAGE(BF411,BG411),""),"—")</f>
        <v/>
      </c>
      <c r="BK411" s="21" t="n"/>
      <c r="BM411" s="21" t="n"/>
      <c r="BN411" s="28">
        <f>IFERROR(IF(AND(BK411&lt;&gt;"",BM411&lt;&gt;""),IF(BM411&lt;BK411,1,0),""),"")</f>
        <v/>
      </c>
      <c r="BP411" s="21" t="n"/>
      <c r="BS411" s="29">
        <f>IFERROR(IF(AND(BH411&lt;&gt;"",BK411&lt;&gt;""),(BH411-BK411)/BK411,""),"—")</f>
        <v/>
      </c>
      <c r="BT411" s="29">
        <f>IFERROR(IF(AND(BH411&lt;&gt;"",BP411&lt;&gt;""),(BH411-BP411)/BP411,""),"—")</f>
        <v/>
      </c>
      <c r="BU411" s="29">
        <f>IFERROR(IF(AND(BK411&lt;&gt;"",BP411&lt;&gt;""),(BP411-BK411)/BK411,""),"—")</f>
        <v/>
      </c>
    </row>
    <row r="412">
      <c r="AK412" s="14">
        <f>IFERROR(IF(AND(AG412&lt;&gt;"",AH412&lt;&gt;""),AG412*AH412,IF(AI412&lt;&gt;"",AI412,IF(AJ412&lt;&gt;"",AJ412*43560,""))),"ERROR")</f>
        <v/>
      </c>
      <c r="AL412" s="15">
        <f>IFERROR(IF(AK412&lt;&gt;"",AK412/43560,""),"—")</f>
        <v/>
      </c>
      <c r="AN412" s="14">
        <f>IFERROR(IF(AL412="","",IF(AL412&lt;2,"Residential (&lt;2ac)",IF(AL412&lt;10,"Small Rural (2-10ac)",IF(AL412&lt;40,"Rural (10-40ac)",IF(AL412&lt;100,"Farm/Estate (40-100ac)","Large Farm (100+ac)"))))),"—")</f>
        <v/>
      </c>
      <c r="AZ412" s="21" t="n"/>
      <c r="BF412" s="21" t="n"/>
      <c r="BG412" s="21" t="n"/>
      <c r="BH412" s="22">
        <f>IFERROR(IF(AND(BF412&lt;&gt;"",BG412&lt;&gt;""),AVERAGE(BF412,BG412),""),"—")</f>
        <v/>
      </c>
      <c r="BK412" s="21" t="n"/>
      <c r="BM412" s="21" t="n"/>
      <c r="BN412" s="28">
        <f>IFERROR(IF(AND(BK412&lt;&gt;"",BM412&lt;&gt;""),IF(BM412&lt;BK412,1,0),""),"")</f>
        <v/>
      </c>
      <c r="BP412" s="21" t="n"/>
      <c r="BS412" s="29">
        <f>IFERROR(IF(AND(BH412&lt;&gt;"",BK412&lt;&gt;""),(BH412-BK412)/BK412,""),"—")</f>
        <v/>
      </c>
      <c r="BT412" s="29">
        <f>IFERROR(IF(AND(BH412&lt;&gt;"",BP412&lt;&gt;""),(BH412-BP412)/BP412,""),"—")</f>
        <v/>
      </c>
      <c r="BU412" s="29">
        <f>IFERROR(IF(AND(BK412&lt;&gt;"",BP412&lt;&gt;""),(BP412-BK412)/BK412,""),"—")</f>
        <v/>
      </c>
    </row>
    <row r="413">
      <c r="AK413" s="14">
        <f>IFERROR(IF(AND(AG413&lt;&gt;"",AH413&lt;&gt;""),AG413*AH413,IF(AI413&lt;&gt;"",AI413,IF(AJ413&lt;&gt;"",AJ413*43560,""))),"ERROR")</f>
        <v/>
      </c>
      <c r="AL413" s="15">
        <f>IFERROR(IF(AK413&lt;&gt;"",AK413/43560,""),"—")</f>
        <v/>
      </c>
      <c r="AN413" s="14">
        <f>IFERROR(IF(AL413="","",IF(AL413&lt;2,"Residential (&lt;2ac)",IF(AL413&lt;10,"Small Rural (2-10ac)",IF(AL413&lt;40,"Rural (10-40ac)",IF(AL413&lt;100,"Farm/Estate (40-100ac)","Large Farm (100+ac)"))))),"—")</f>
        <v/>
      </c>
      <c r="AZ413" s="21" t="n"/>
      <c r="BF413" s="21" t="n"/>
      <c r="BG413" s="21" t="n"/>
      <c r="BH413" s="22">
        <f>IFERROR(IF(AND(BF413&lt;&gt;"",BG413&lt;&gt;""),AVERAGE(BF413,BG413),""),"—")</f>
        <v/>
      </c>
      <c r="BK413" s="21" t="n"/>
      <c r="BM413" s="21" t="n"/>
      <c r="BN413" s="28">
        <f>IFERROR(IF(AND(BK413&lt;&gt;"",BM413&lt;&gt;""),IF(BM413&lt;BK413,1,0),""),"")</f>
        <v/>
      </c>
      <c r="BP413" s="21" t="n"/>
      <c r="BS413" s="29">
        <f>IFERROR(IF(AND(BH413&lt;&gt;"",BK413&lt;&gt;""),(BH413-BK413)/BK413,""),"—")</f>
        <v/>
      </c>
      <c r="BT413" s="29">
        <f>IFERROR(IF(AND(BH413&lt;&gt;"",BP413&lt;&gt;""),(BH413-BP413)/BP413,""),"—")</f>
        <v/>
      </c>
      <c r="BU413" s="29">
        <f>IFERROR(IF(AND(BK413&lt;&gt;"",BP413&lt;&gt;""),(BP413-BK413)/BK413,""),"—")</f>
        <v/>
      </c>
    </row>
    <row r="414">
      <c r="AK414" s="14">
        <f>IFERROR(IF(AND(AG414&lt;&gt;"",AH414&lt;&gt;""),AG414*AH414,IF(AI414&lt;&gt;"",AI414,IF(AJ414&lt;&gt;"",AJ414*43560,""))),"ERROR")</f>
        <v/>
      </c>
      <c r="AL414" s="15">
        <f>IFERROR(IF(AK414&lt;&gt;"",AK414/43560,""),"—")</f>
        <v/>
      </c>
      <c r="AN414" s="14">
        <f>IFERROR(IF(AL414="","",IF(AL414&lt;2,"Residential (&lt;2ac)",IF(AL414&lt;10,"Small Rural (2-10ac)",IF(AL414&lt;40,"Rural (10-40ac)",IF(AL414&lt;100,"Farm/Estate (40-100ac)","Large Farm (100+ac)"))))),"—")</f>
        <v/>
      </c>
      <c r="AZ414" s="21" t="n"/>
      <c r="BF414" s="21" t="n"/>
      <c r="BG414" s="21" t="n"/>
      <c r="BH414" s="22">
        <f>IFERROR(IF(AND(BF414&lt;&gt;"",BG414&lt;&gt;""),AVERAGE(BF414,BG414),""),"—")</f>
        <v/>
      </c>
      <c r="BK414" s="21" t="n"/>
      <c r="BM414" s="21" t="n"/>
      <c r="BN414" s="28">
        <f>IFERROR(IF(AND(BK414&lt;&gt;"",BM414&lt;&gt;""),IF(BM414&lt;BK414,1,0),""),"")</f>
        <v/>
      </c>
      <c r="BP414" s="21" t="n"/>
      <c r="BS414" s="29">
        <f>IFERROR(IF(AND(BH414&lt;&gt;"",BK414&lt;&gt;""),(BH414-BK414)/BK414,""),"—")</f>
        <v/>
      </c>
      <c r="BT414" s="29">
        <f>IFERROR(IF(AND(BH414&lt;&gt;"",BP414&lt;&gt;""),(BH414-BP414)/BP414,""),"—")</f>
        <v/>
      </c>
      <c r="BU414" s="29">
        <f>IFERROR(IF(AND(BK414&lt;&gt;"",BP414&lt;&gt;""),(BP414-BK414)/BK414,""),"—")</f>
        <v/>
      </c>
    </row>
    <row r="415">
      <c r="AK415" s="14">
        <f>IFERROR(IF(AND(AG415&lt;&gt;"",AH415&lt;&gt;""),AG415*AH415,IF(AI415&lt;&gt;"",AI415,IF(AJ415&lt;&gt;"",AJ415*43560,""))),"ERROR")</f>
        <v/>
      </c>
      <c r="AL415" s="15">
        <f>IFERROR(IF(AK415&lt;&gt;"",AK415/43560,""),"—")</f>
        <v/>
      </c>
      <c r="AN415" s="14">
        <f>IFERROR(IF(AL415="","",IF(AL415&lt;2,"Residential (&lt;2ac)",IF(AL415&lt;10,"Small Rural (2-10ac)",IF(AL415&lt;40,"Rural (10-40ac)",IF(AL415&lt;100,"Farm/Estate (40-100ac)","Large Farm (100+ac)"))))),"—")</f>
        <v/>
      </c>
      <c r="AZ415" s="21" t="n"/>
      <c r="BF415" s="21" t="n"/>
      <c r="BG415" s="21" t="n"/>
      <c r="BH415" s="22">
        <f>IFERROR(IF(AND(BF415&lt;&gt;"",BG415&lt;&gt;""),AVERAGE(BF415,BG415),""),"—")</f>
        <v/>
      </c>
      <c r="BK415" s="21" t="n"/>
      <c r="BM415" s="21" t="n"/>
      <c r="BN415" s="28">
        <f>IFERROR(IF(AND(BK415&lt;&gt;"",BM415&lt;&gt;""),IF(BM415&lt;BK415,1,0),""),"")</f>
        <v/>
      </c>
      <c r="BP415" s="21" t="n"/>
      <c r="BS415" s="29">
        <f>IFERROR(IF(AND(BH415&lt;&gt;"",BK415&lt;&gt;""),(BH415-BK415)/BK415,""),"—")</f>
        <v/>
      </c>
      <c r="BT415" s="29">
        <f>IFERROR(IF(AND(BH415&lt;&gt;"",BP415&lt;&gt;""),(BH415-BP415)/BP415,""),"—")</f>
        <v/>
      </c>
      <c r="BU415" s="29">
        <f>IFERROR(IF(AND(BK415&lt;&gt;"",BP415&lt;&gt;""),(BP415-BK415)/BK415,""),"—")</f>
        <v/>
      </c>
    </row>
    <row r="416">
      <c r="AK416" s="14">
        <f>IFERROR(IF(AND(AG416&lt;&gt;"",AH416&lt;&gt;""),AG416*AH416,IF(AI416&lt;&gt;"",AI416,IF(AJ416&lt;&gt;"",AJ416*43560,""))),"ERROR")</f>
        <v/>
      </c>
      <c r="AL416" s="15">
        <f>IFERROR(IF(AK416&lt;&gt;"",AK416/43560,""),"—")</f>
        <v/>
      </c>
      <c r="AN416" s="14">
        <f>IFERROR(IF(AL416="","",IF(AL416&lt;2,"Residential (&lt;2ac)",IF(AL416&lt;10,"Small Rural (2-10ac)",IF(AL416&lt;40,"Rural (10-40ac)",IF(AL416&lt;100,"Farm/Estate (40-100ac)","Large Farm (100+ac)"))))),"—")</f>
        <v/>
      </c>
      <c r="AZ416" s="21" t="n"/>
      <c r="BF416" s="21" t="n"/>
      <c r="BG416" s="21" t="n"/>
      <c r="BH416" s="22">
        <f>IFERROR(IF(AND(BF416&lt;&gt;"",BG416&lt;&gt;""),AVERAGE(BF416,BG416),""),"—")</f>
        <v/>
      </c>
      <c r="BK416" s="21" t="n"/>
      <c r="BM416" s="21" t="n"/>
      <c r="BN416" s="28">
        <f>IFERROR(IF(AND(BK416&lt;&gt;"",BM416&lt;&gt;""),IF(BM416&lt;BK416,1,0),""),"")</f>
        <v/>
      </c>
      <c r="BP416" s="21" t="n"/>
      <c r="BS416" s="29">
        <f>IFERROR(IF(AND(BH416&lt;&gt;"",BK416&lt;&gt;""),(BH416-BK416)/BK416,""),"—")</f>
        <v/>
      </c>
      <c r="BT416" s="29">
        <f>IFERROR(IF(AND(BH416&lt;&gt;"",BP416&lt;&gt;""),(BH416-BP416)/BP416,""),"—")</f>
        <v/>
      </c>
      <c r="BU416" s="29">
        <f>IFERROR(IF(AND(BK416&lt;&gt;"",BP416&lt;&gt;""),(BP416-BK416)/BK416,""),"—")</f>
        <v/>
      </c>
    </row>
    <row r="417">
      <c r="AK417" s="14">
        <f>IFERROR(IF(AND(AG417&lt;&gt;"",AH417&lt;&gt;""),AG417*AH417,IF(AI417&lt;&gt;"",AI417,IF(AJ417&lt;&gt;"",AJ417*43560,""))),"ERROR")</f>
        <v/>
      </c>
      <c r="AL417" s="15">
        <f>IFERROR(IF(AK417&lt;&gt;"",AK417/43560,""),"—")</f>
        <v/>
      </c>
      <c r="AN417" s="14">
        <f>IFERROR(IF(AL417="","",IF(AL417&lt;2,"Residential (&lt;2ac)",IF(AL417&lt;10,"Small Rural (2-10ac)",IF(AL417&lt;40,"Rural (10-40ac)",IF(AL417&lt;100,"Farm/Estate (40-100ac)","Large Farm (100+ac)"))))),"—")</f>
        <v/>
      </c>
      <c r="AZ417" s="21" t="n"/>
      <c r="BF417" s="21" t="n"/>
      <c r="BG417" s="21" t="n"/>
      <c r="BH417" s="22">
        <f>IFERROR(IF(AND(BF417&lt;&gt;"",BG417&lt;&gt;""),AVERAGE(BF417,BG417),""),"—")</f>
        <v/>
      </c>
      <c r="BK417" s="21" t="n"/>
      <c r="BM417" s="21" t="n"/>
      <c r="BN417" s="28">
        <f>IFERROR(IF(AND(BK417&lt;&gt;"",BM417&lt;&gt;""),IF(BM417&lt;BK417,1,0),""),"")</f>
        <v/>
      </c>
      <c r="BP417" s="21" t="n"/>
      <c r="BS417" s="29">
        <f>IFERROR(IF(AND(BH417&lt;&gt;"",BK417&lt;&gt;""),(BH417-BK417)/BK417,""),"—")</f>
        <v/>
      </c>
      <c r="BT417" s="29">
        <f>IFERROR(IF(AND(BH417&lt;&gt;"",BP417&lt;&gt;""),(BH417-BP417)/BP417,""),"—")</f>
        <v/>
      </c>
      <c r="BU417" s="29">
        <f>IFERROR(IF(AND(BK417&lt;&gt;"",BP417&lt;&gt;""),(BP417-BK417)/BK417,""),"—")</f>
        <v/>
      </c>
    </row>
    <row r="418">
      <c r="AK418" s="14">
        <f>IFERROR(IF(AND(AG418&lt;&gt;"",AH418&lt;&gt;""),AG418*AH418,IF(AI418&lt;&gt;"",AI418,IF(AJ418&lt;&gt;"",AJ418*43560,""))),"ERROR")</f>
        <v/>
      </c>
      <c r="AL418" s="15">
        <f>IFERROR(IF(AK418&lt;&gt;"",AK418/43560,""),"—")</f>
        <v/>
      </c>
      <c r="AN418" s="14">
        <f>IFERROR(IF(AL418="","",IF(AL418&lt;2,"Residential (&lt;2ac)",IF(AL418&lt;10,"Small Rural (2-10ac)",IF(AL418&lt;40,"Rural (10-40ac)",IF(AL418&lt;100,"Farm/Estate (40-100ac)","Large Farm (100+ac)"))))),"—")</f>
        <v/>
      </c>
      <c r="AZ418" s="21" t="n"/>
      <c r="BF418" s="21" t="n"/>
      <c r="BG418" s="21" t="n"/>
      <c r="BH418" s="22">
        <f>IFERROR(IF(AND(BF418&lt;&gt;"",BG418&lt;&gt;""),AVERAGE(BF418,BG418),""),"—")</f>
        <v/>
      </c>
      <c r="BK418" s="21" t="n"/>
      <c r="BM418" s="21" t="n"/>
      <c r="BN418" s="28">
        <f>IFERROR(IF(AND(BK418&lt;&gt;"",BM418&lt;&gt;""),IF(BM418&lt;BK418,1,0),""),"")</f>
        <v/>
      </c>
      <c r="BP418" s="21" t="n"/>
      <c r="BS418" s="29">
        <f>IFERROR(IF(AND(BH418&lt;&gt;"",BK418&lt;&gt;""),(BH418-BK418)/BK418,""),"—")</f>
        <v/>
      </c>
      <c r="BT418" s="29">
        <f>IFERROR(IF(AND(BH418&lt;&gt;"",BP418&lt;&gt;""),(BH418-BP418)/BP418,""),"—")</f>
        <v/>
      </c>
      <c r="BU418" s="29">
        <f>IFERROR(IF(AND(BK418&lt;&gt;"",BP418&lt;&gt;""),(BP418-BK418)/BK418,""),"—")</f>
        <v/>
      </c>
    </row>
    <row r="419">
      <c r="AK419" s="14">
        <f>IFERROR(IF(AND(AG419&lt;&gt;"",AH419&lt;&gt;""),AG419*AH419,IF(AI419&lt;&gt;"",AI419,IF(AJ419&lt;&gt;"",AJ419*43560,""))),"ERROR")</f>
        <v/>
      </c>
      <c r="AL419" s="15">
        <f>IFERROR(IF(AK419&lt;&gt;"",AK419/43560,""),"—")</f>
        <v/>
      </c>
      <c r="AN419" s="14">
        <f>IFERROR(IF(AL419="","",IF(AL419&lt;2,"Residential (&lt;2ac)",IF(AL419&lt;10,"Small Rural (2-10ac)",IF(AL419&lt;40,"Rural (10-40ac)",IF(AL419&lt;100,"Farm/Estate (40-100ac)","Large Farm (100+ac)"))))),"—")</f>
        <v/>
      </c>
      <c r="AZ419" s="21" t="n"/>
      <c r="BF419" s="21" t="n"/>
      <c r="BG419" s="21" t="n"/>
      <c r="BH419" s="22">
        <f>IFERROR(IF(AND(BF419&lt;&gt;"",BG419&lt;&gt;""),AVERAGE(BF419,BG419),""),"—")</f>
        <v/>
      </c>
      <c r="BK419" s="21" t="n"/>
      <c r="BM419" s="21" t="n"/>
      <c r="BN419" s="28">
        <f>IFERROR(IF(AND(BK419&lt;&gt;"",BM419&lt;&gt;""),IF(BM419&lt;BK419,1,0),""),"")</f>
        <v/>
      </c>
      <c r="BP419" s="21" t="n"/>
      <c r="BS419" s="29">
        <f>IFERROR(IF(AND(BH419&lt;&gt;"",BK419&lt;&gt;""),(BH419-BK419)/BK419,""),"—")</f>
        <v/>
      </c>
      <c r="BT419" s="29">
        <f>IFERROR(IF(AND(BH419&lt;&gt;"",BP419&lt;&gt;""),(BH419-BP419)/BP419,""),"—")</f>
        <v/>
      </c>
      <c r="BU419" s="29">
        <f>IFERROR(IF(AND(BK419&lt;&gt;"",BP419&lt;&gt;""),(BP419-BK419)/BK419,""),"—")</f>
        <v/>
      </c>
    </row>
    <row r="420">
      <c r="AK420" s="14">
        <f>IFERROR(IF(AND(AG420&lt;&gt;"",AH420&lt;&gt;""),AG420*AH420,IF(AI420&lt;&gt;"",AI420,IF(AJ420&lt;&gt;"",AJ420*43560,""))),"ERROR")</f>
        <v/>
      </c>
      <c r="AL420" s="15">
        <f>IFERROR(IF(AK420&lt;&gt;"",AK420/43560,""),"—")</f>
        <v/>
      </c>
      <c r="AN420" s="14">
        <f>IFERROR(IF(AL420="","",IF(AL420&lt;2,"Residential (&lt;2ac)",IF(AL420&lt;10,"Small Rural (2-10ac)",IF(AL420&lt;40,"Rural (10-40ac)",IF(AL420&lt;100,"Farm/Estate (40-100ac)","Large Farm (100+ac)"))))),"—")</f>
        <v/>
      </c>
      <c r="AZ420" s="21" t="n"/>
      <c r="BF420" s="21" t="n"/>
      <c r="BG420" s="21" t="n"/>
      <c r="BH420" s="22">
        <f>IFERROR(IF(AND(BF420&lt;&gt;"",BG420&lt;&gt;""),AVERAGE(BF420,BG420),""),"—")</f>
        <v/>
      </c>
      <c r="BK420" s="21" t="n"/>
      <c r="BM420" s="21" t="n"/>
      <c r="BN420" s="28">
        <f>IFERROR(IF(AND(BK420&lt;&gt;"",BM420&lt;&gt;""),IF(BM420&lt;BK420,1,0),""),"")</f>
        <v/>
      </c>
      <c r="BP420" s="21" t="n"/>
      <c r="BS420" s="29">
        <f>IFERROR(IF(AND(BH420&lt;&gt;"",BK420&lt;&gt;""),(BH420-BK420)/BK420,""),"—")</f>
        <v/>
      </c>
      <c r="BT420" s="29">
        <f>IFERROR(IF(AND(BH420&lt;&gt;"",BP420&lt;&gt;""),(BH420-BP420)/BP420,""),"—")</f>
        <v/>
      </c>
      <c r="BU420" s="29">
        <f>IFERROR(IF(AND(BK420&lt;&gt;"",BP420&lt;&gt;""),(BP420-BK420)/BK420,""),"—")</f>
        <v/>
      </c>
    </row>
    <row r="421">
      <c r="AK421" s="14">
        <f>IFERROR(IF(AND(AG421&lt;&gt;"",AH421&lt;&gt;""),AG421*AH421,IF(AI421&lt;&gt;"",AI421,IF(AJ421&lt;&gt;"",AJ421*43560,""))),"ERROR")</f>
        <v/>
      </c>
      <c r="AL421" s="15">
        <f>IFERROR(IF(AK421&lt;&gt;"",AK421/43560,""),"—")</f>
        <v/>
      </c>
      <c r="AN421" s="14">
        <f>IFERROR(IF(AL421="","",IF(AL421&lt;2,"Residential (&lt;2ac)",IF(AL421&lt;10,"Small Rural (2-10ac)",IF(AL421&lt;40,"Rural (10-40ac)",IF(AL421&lt;100,"Farm/Estate (40-100ac)","Large Farm (100+ac)"))))),"—")</f>
        <v/>
      </c>
      <c r="AZ421" s="21" t="n"/>
      <c r="BF421" s="21" t="n"/>
      <c r="BG421" s="21" t="n"/>
      <c r="BH421" s="22">
        <f>IFERROR(IF(AND(BF421&lt;&gt;"",BG421&lt;&gt;""),AVERAGE(BF421,BG421),""),"—")</f>
        <v/>
      </c>
      <c r="BK421" s="21" t="n"/>
      <c r="BM421" s="21" t="n"/>
      <c r="BN421" s="28">
        <f>IFERROR(IF(AND(BK421&lt;&gt;"",BM421&lt;&gt;""),IF(BM421&lt;BK421,1,0),""),"")</f>
        <v/>
      </c>
      <c r="BP421" s="21" t="n"/>
      <c r="BS421" s="29">
        <f>IFERROR(IF(AND(BH421&lt;&gt;"",BK421&lt;&gt;""),(BH421-BK421)/BK421,""),"—")</f>
        <v/>
      </c>
      <c r="BT421" s="29">
        <f>IFERROR(IF(AND(BH421&lt;&gt;"",BP421&lt;&gt;""),(BH421-BP421)/BP421,""),"—")</f>
        <v/>
      </c>
      <c r="BU421" s="29">
        <f>IFERROR(IF(AND(BK421&lt;&gt;"",BP421&lt;&gt;""),(BP421-BK421)/BK421,""),"—")</f>
        <v/>
      </c>
    </row>
    <row r="422">
      <c r="AK422" s="14">
        <f>IFERROR(IF(AND(AG422&lt;&gt;"",AH422&lt;&gt;""),AG422*AH422,IF(AI422&lt;&gt;"",AI422,IF(AJ422&lt;&gt;"",AJ422*43560,""))),"ERROR")</f>
        <v/>
      </c>
      <c r="AL422" s="15">
        <f>IFERROR(IF(AK422&lt;&gt;"",AK422/43560,""),"—")</f>
        <v/>
      </c>
      <c r="AN422" s="14">
        <f>IFERROR(IF(AL422="","",IF(AL422&lt;2,"Residential (&lt;2ac)",IF(AL422&lt;10,"Small Rural (2-10ac)",IF(AL422&lt;40,"Rural (10-40ac)",IF(AL422&lt;100,"Farm/Estate (40-100ac)","Large Farm (100+ac)"))))),"—")</f>
        <v/>
      </c>
      <c r="AZ422" s="21" t="n"/>
      <c r="BF422" s="21" t="n"/>
      <c r="BG422" s="21" t="n"/>
      <c r="BH422" s="22">
        <f>IFERROR(IF(AND(BF422&lt;&gt;"",BG422&lt;&gt;""),AVERAGE(BF422,BG422),""),"—")</f>
        <v/>
      </c>
      <c r="BK422" s="21" t="n"/>
      <c r="BM422" s="21" t="n"/>
      <c r="BN422" s="28">
        <f>IFERROR(IF(AND(BK422&lt;&gt;"",BM422&lt;&gt;""),IF(BM422&lt;BK422,1,0),""),"")</f>
        <v/>
      </c>
      <c r="BP422" s="21" t="n"/>
      <c r="BS422" s="29">
        <f>IFERROR(IF(AND(BH422&lt;&gt;"",BK422&lt;&gt;""),(BH422-BK422)/BK422,""),"—")</f>
        <v/>
      </c>
      <c r="BT422" s="29">
        <f>IFERROR(IF(AND(BH422&lt;&gt;"",BP422&lt;&gt;""),(BH422-BP422)/BP422,""),"—")</f>
        <v/>
      </c>
      <c r="BU422" s="29">
        <f>IFERROR(IF(AND(BK422&lt;&gt;"",BP422&lt;&gt;""),(BP422-BK422)/BK422,""),"—")</f>
        <v/>
      </c>
    </row>
    <row r="423">
      <c r="AK423" s="14">
        <f>IFERROR(IF(AND(AG423&lt;&gt;"",AH423&lt;&gt;""),AG423*AH423,IF(AI423&lt;&gt;"",AI423,IF(AJ423&lt;&gt;"",AJ423*43560,""))),"ERROR")</f>
        <v/>
      </c>
      <c r="AL423" s="15">
        <f>IFERROR(IF(AK423&lt;&gt;"",AK423/43560,""),"—")</f>
        <v/>
      </c>
      <c r="AN423" s="14">
        <f>IFERROR(IF(AL423="","",IF(AL423&lt;2,"Residential (&lt;2ac)",IF(AL423&lt;10,"Small Rural (2-10ac)",IF(AL423&lt;40,"Rural (10-40ac)",IF(AL423&lt;100,"Farm/Estate (40-100ac)","Large Farm (100+ac)"))))),"—")</f>
        <v/>
      </c>
      <c r="AZ423" s="21" t="n"/>
      <c r="BF423" s="21" t="n"/>
      <c r="BG423" s="21" t="n"/>
      <c r="BH423" s="22">
        <f>IFERROR(IF(AND(BF423&lt;&gt;"",BG423&lt;&gt;""),AVERAGE(BF423,BG423),""),"—")</f>
        <v/>
      </c>
      <c r="BK423" s="21" t="n"/>
      <c r="BM423" s="21" t="n"/>
      <c r="BN423" s="28">
        <f>IFERROR(IF(AND(BK423&lt;&gt;"",BM423&lt;&gt;""),IF(BM423&lt;BK423,1,0),""),"")</f>
        <v/>
      </c>
      <c r="BP423" s="21" t="n"/>
      <c r="BS423" s="29">
        <f>IFERROR(IF(AND(BH423&lt;&gt;"",BK423&lt;&gt;""),(BH423-BK423)/BK423,""),"—")</f>
        <v/>
      </c>
      <c r="BT423" s="29">
        <f>IFERROR(IF(AND(BH423&lt;&gt;"",BP423&lt;&gt;""),(BH423-BP423)/BP423,""),"—")</f>
        <v/>
      </c>
      <c r="BU423" s="29">
        <f>IFERROR(IF(AND(BK423&lt;&gt;"",BP423&lt;&gt;""),(BP423-BK423)/BK423,""),"—")</f>
        <v/>
      </c>
    </row>
    <row r="424">
      <c r="AK424" s="14">
        <f>IFERROR(IF(AND(AG424&lt;&gt;"",AH424&lt;&gt;""),AG424*AH424,IF(AI424&lt;&gt;"",AI424,IF(AJ424&lt;&gt;"",AJ424*43560,""))),"ERROR")</f>
        <v/>
      </c>
      <c r="AL424" s="15">
        <f>IFERROR(IF(AK424&lt;&gt;"",AK424/43560,""),"—")</f>
        <v/>
      </c>
      <c r="AN424" s="14">
        <f>IFERROR(IF(AL424="","",IF(AL424&lt;2,"Residential (&lt;2ac)",IF(AL424&lt;10,"Small Rural (2-10ac)",IF(AL424&lt;40,"Rural (10-40ac)",IF(AL424&lt;100,"Farm/Estate (40-100ac)","Large Farm (100+ac)"))))),"—")</f>
        <v/>
      </c>
      <c r="AZ424" s="21" t="n"/>
      <c r="BF424" s="21" t="n"/>
      <c r="BG424" s="21" t="n"/>
      <c r="BH424" s="22">
        <f>IFERROR(IF(AND(BF424&lt;&gt;"",BG424&lt;&gt;""),AVERAGE(BF424,BG424),""),"—")</f>
        <v/>
      </c>
      <c r="BK424" s="21" t="n"/>
      <c r="BM424" s="21" t="n"/>
      <c r="BN424" s="28">
        <f>IFERROR(IF(AND(BK424&lt;&gt;"",BM424&lt;&gt;""),IF(BM424&lt;BK424,1,0),""),"")</f>
        <v/>
      </c>
      <c r="BP424" s="21" t="n"/>
      <c r="BS424" s="29">
        <f>IFERROR(IF(AND(BH424&lt;&gt;"",BK424&lt;&gt;""),(BH424-BK424)/BK424,""),"—")</f>
        <v/>
      </c>
      <c r="BT424" s="29">
        <f>IFERROR(IF(AND(BH424&lt;&gt;"",BP424&lt;&gt;""),(BH424-BP424)/BP424,""),"—")</f>
        <v/>
      </c>
      <c r="BU424" s="29">
        <f>IFERROR(IF(AND(BK424&lt;&gt;"",BP424&lt;&gt;""),(BP424-BK424)/BK424,""),"—")</f>
        <v/>
      </c>
    </row>
    <row r="425">
      <c r="AK425" s="14">
        <f>IFERROR(IF(AND(AG425&lt;&gt;"",AH425&lt;&gt;""),AG425*AH425,IF(AI425&lt;&gt;"",AI425,IF(AJ425&lt;&gt;"",AJ425*43560,""))),"ERROR")</f>
        <v/>
      </c>
      <c r="AL425" s="15">
        <f>IFERROR(IF(AK425&lt;&gt;"",AK425/43560,""),"—")</f>
        <v/>
      </c>
      <c r="AN425" s="14">
        <f>IFERROR(IF(AL425="","",IF(AL425&lt;2,"Residential (&lt;2ac)",IF(AL425&lt;10,"Small Rural (2-10ac)",IF(AL425&lt;40,"Rural (10-40ac)",IF(AL425&lt;100,"Farm/Estate (40-100ac)","Large Farm (100+ac)"))))),"—")</f>
        <v/>
      </c>
      <c r="AZ425" s="21" t="n"/>
      <c r="BF425" s="21" t="n"/>
      <c r="BG425" s="21" t="n"/>
      <c r="BH425" s="22">
        <f>IFERROR(IF(AND(BF425&lt;&gt;"",BG425&lt;&gt;""),AVERAGE(BF425,BG425),""),"—")</f>
        <v/>
      </c>
      <c r="BK425" s="21" t="n"/>
      <c r="BM425" s="21" t="n"/>
      <c r="BN425" s="28">
        <f>IFERROR(IF(AND(BK425&lt;&gt;"",BM425&lt;&gt;""),IF(BM425&lt;BK425,1,0),""),"")</f>
        <v/>
      </c>
      <c r="BP425" s="21" t="n"/>
      <c r="BS425" s="29">
        <f>IFERROR(IF(AND(BH425&lt;&gt;"",BK425&lt;&gt;""),(BH425-BK425)/BK425,""),"—")</f>
        <v/>
      </c>
      <c r="BT425" s="29">
        <f>IFERROR(IF(AND(BH425&lt;&gt;"",BP425&lt;&gt;""),(BH425-BP425)/BP425,""),"—")</f>
        <v/>
      </c>
      <c r="BU425" s="29">
        <f>IFERROR(IF(AND(BK425&lt;&gt;"",BP425&lt;&gt;""),(BP425-BK425)/BK425,""),"—")</f>
        <v/>
      </c>
    </row>
    <row r="426">
      <c r="AK426" s="14">
        <f>IFERROR(IF(AND(AG426&lt;&gt;"",AH426&lt;&gt;""),AG426*AH426,IF(AI426&lt;&gt;"",AI426,IF(AJ426&lt;&gt;"",AJ426*43560,""))),"ERROR")</f>
        <v/>
      </c>
      <c r="AL426" s="15">
        <f>IFERROR(IF(AK426&lt;&gt;"",AK426/43560,""),"—")</f>
        <v/>
      </c>
      <c r="AN426" s="14">
        <f>IFERROR(IF(AL426="","",IF(AL426&lt;2,"Residential (&lt;2ac)",IF(AL426&lt;10,"Small Rural (2-10ac)",IF(AL426&lt;40,"Rural (10-40ac)",IF(AL426&lt;100,"Farm/Estate (40-100ac)","Large Farm (100+ac)"))))),"—")</f>
        <v/>
      </c>
      <c r="AZ426" s="21" t="n"/>
      <c r="BF426" s="21" t="n"/>
      <c r="BG426" s="21" t="n"/>
      <c r="BH426" s="22">
        <f>IFERROR(IF(AND(BF426&lt;&gt;"",BG426&lt;&gt;""),AVERAGE(BF426,BG426),""),"—")</f>
        <v/>
      </c>
      <c r="BK426" s="21" t="n"/>
      <c r="BM426" s="21" t="n"/>
      <c r="BN426" s="28">
        <f>IFERROR(IF(AND(BK426&lt;&gt;"",BM426&lt;&gt;""),IF(BM426&lt;BK426,1,0),""),"")</f>
        <v/>
      </c>
      <c r="BP426" s="21" t="n"/>
      <c r="BS426" s="29">
        <f>IFERROR(IF(AND(BH426&lt;&gt;"",BK426&lt;&gt;""),(BH426-BK426)/BK426,""),"—")</f>
        <v/>
      </c>
      <c r="BT426" s="29">
        <f>IFERROR(IF(AND(BH426&lt;&gt;"",BP426&lt;&gt;""),(BH426-BP426)/BP426,""),"—")</f>
        <v/>
      </c>
      <c r="BU426" s="29">
        <f>IFERROR(IF(AND(BK426&lt;&gt;"",BP426&lt;&gt;""),(BP426-BK426)/BK426,""),"—")</f>
        <v/>
      </c>
    </row>
    <row r="427">
      <c r="AK427" s="14">
        <f>IFERROR(IF(AND(AG427&lt;&gt;"",AH427&lt;&gt;""),AG427*AH427,IF(AI427&lt;&gt;"",AI427,IF(AJ427&lt;&gt;"",AJ427*43560,""))),"ERROR")</f>
        <v/>
      </c>
      <c r="AL427" s="15">
        <f>IFERROR(IF(AK427&lt;&gt;"",AK427/43560,""),"—")</f>
        <v/>
      </c>
      <c r="AN427" s="14">
        <f>IFERROR(IF(AL427="","",IF(AL427&lt;2,"Residential (&lt;2ac)",IF(AL427&lt;10,"Small Rural (2-10ac)",IF(AL427&lt;40,"Rural (10-40ac)",IF(AL427&lt;100,"Farm/Estate (40-100ac)","Large Farm (100+ac)"))))),"—")</f>
        <v/>
      </c>
      <c r="AZ427" s="21" t="n"/>
      <c r="BF427" s="21" t="n"/>
      <c r="BG427" s="21" t="n"/>
      <c r="BH427" s="22">
        <f>IFERROR(IF(AND(BF427&lt;&gt;"",BG427&lt;&gt;""),AVERAGE(BF427,BG427),""),"—")</f>
        <v/>
      </c>
      <c r="BK427" s="21" t="n"/>
      <c r="BM427" s="21" t="n"/>
      <c r="BN427" s="28">
        <f>IFERROR(IF(AND(BK427&lt;&gt;"",BM427&lt;&gt;""),IF(BM427&lt;BK427,1,0),""),"")</f>
        <v/>
      </c>
      <c r="BP427" s="21" t="n"/>
      <c r="BS427" s="29">
        <f>IFERROR(IF(AND(BH427&lt;&gt;"",BK427&lt;&gt;""),(BH427-BK427)/BK427,""),"—")</f>
        <v/>
      </c>
      <c r="BT427" s="29">
        <f>IFERROR(IF(AND(BH427&lt;&gt;"",BP427&lt;&gt;""),(BH427-BP427)/BP427,""),"—")</f>
        <v/>
      </c>
      <c r="BU427" s="29">
        <f>IFERROR(IF(AND(BK427&lt;&gt;"",BP427&lt;&gt;""),(BP427-BK427)/BK427,""),"—")</f>
        <v/>
      </c>
    </row>
    <row r="428">
      <c r="AK428" s="14">
        <f>IFERROR(IF(AND(AG428&lt;&gt;"",AH428&lt;&gt;""),AG428*AH428,IF(AI428&lt;&gt;"",AI428,IF(AJ428&lt;&gt;"",AJ428*43560,""))),"ERROR")</f>
        <v/>
      </c>
      <c r="AL428" s="15">
        <f>IFERROR(IF(AK428&lt;&gt;"",AK428/43560,""),"—")</f>
        <v/>
      </c>
      <c r="AN428" s="14">
        <f>IFERROR(IF(AL428="","",IF(AL428&lt;2,"Residential (&lt;2ac)",IF(AL428&lt;10,"Small Rural (2-10ac)",IF(AL428&lt;40,"Rural (10-40ac)",IF(AL428&lt;100,"Farm/Estate (40-100ac)","Large Farm (100+ac)"))))),"—")</f>
        <v/>
      </c>
      <c r="AZ428" s="21" t="n"/>
      <c r="BF428" s="21" t="n"/>
      <c r="BG428" s="21" t="n"/>
      <c r="BH428" s="22">
        <f>IFERROR(IF(AND(BF428&lt;&gt;"",BG428&lt;&gt;""),AVERAGE(BF428,BG428),""),"—")</f>
        <v/>
      </c>
      <c r="BK428" s="21" t="n"/>
      <c r="BM428" s="21" t="n"/>
      <c r="BN428" s="28">
        <f>IFERROR(IF(AND(BK428&lt;&gt;"",BM428&lt;&gt;""),IF(BM428&lt;BK428,1,0),""),"")</f>
        <v/>
      </c>
      <c r="BP428" s="21" t="n"/>
      <c r="BS428" s="29">
        <f>IFERROR(IF(AND(BH428&lt;&gt;"",BK428&lt;&gt;""),(BH428-BK428)/BK428,""),"—")</f>
        <v/>
      </c>
      <c r="BT428" s="29">
        <f>IFERROR(IF(AND(BH428&lt;&gt;"",BP428&lt;&gt;""),(BH428-BP428)/BP428,""),"—")</f>
        <v/>
      </c>
      <c r="BU428" s="29">
        <f>IFERROR(IF(AND(BK428&lt;&gt;"",BP428&lt;&gt;""),(BP428-BK428)/BK428,""),"—")</f>
        <v/>
      </c>
    </row>
    <row r="429">
      <c r="AK429" s="14">
        <f>IFERROR(IF(AND(AG429&lt;&gt;"",AH429&lt;&gt;""),AG429*AH429,IF(AI429&lt;&gt;"",AI429,IF(AJ429&lt;&gt;"",AJ429*43560,""))),"ERROR")</f>
        <v/>
      </c>
      <c r="AL429" s="15">
        <f>IFERROR(IF(AK429&lt;&gt;"",AK429/43560,""),"—")</f>
        <v/>
      </c>
      <c r="AN429" s="14">
        <f>IFERROR(IF(AL429="","",IF(AL429&lt;2,"Residential (&lt;2ac)",IF(AL429&lt;10,"Small Rural (2-10ac)",IF(AL429&lt;40,"Rural (10-40ac)",IF(AL429&lt;100,"Farm/Estate (40-100ac)","Large Farm (100+ac)"))))),"—")</f>
        <v/>
      </c>
      <c r="AZ429" s="21" t="n"/>
      <c r="BF429" s="21" t="n"/>
      <c r="BG429" s="21" t="n"/>
      <c r="BH429" s="22">
        <f>IFERROR(IF(AND(BF429&lt;&gt;"",BG429&lt;&gt;""),AVERAGE(BF429,BG429),""),"—")</f>
        <v/>
      </c>
      <c r="BK429" s="21" t="n"/>
      <c r="BM429" s="21" t="n"/>
      <c r="BN429" s="28">
        <f>IFERROR(IF(AND(BK429&lt;&gt;"",BM429&lt;&gt;""),IF(BM429&lt;BK429,1,0),""),"")</f>
        <v/>
      </c>
      <c r="BP429" s="21" t="n"/>
      <c r="BS429" s="29">
        <f>IFERROR(IF(AND(BH429&lt;&gt;"",BK429&lt;&gt;""),(BH429-BK429)/BK429,""),"—")</f>
        <v/>
      </c>
      <c r="BT429" s="29">
        <f>IFERROR(IF(AND(BH429&lt;&gt;"",BP429&lt;&gt;""),(BH429-BP429)/BP429,""),"—")</f>
        <v/>
      </c>
      <c r="BU429" s="29">
        <f>IFERROR(IF(AND(BK429&lt;&gt;"",BP429&lt;&gt;""),(BP429-BK429)/BK429,""),"—")</f>
        <v/>
      </c>
    </row>
    <row r="430">
      <c r="AK430" s="14">
        <f>IFERROR(IF(AND(AG430&lt;&gt;"",AH430&lt;&gt;""),AG430*AH430,IF(AI430&lt;&gt;"",AI430,IF(AJ430&lt;&gt;"",AJ430*43560,""))),"ERROR")</f>
        <v/>
      </c>
      <c r="AL430" s="15">
        <f>IFERROR(IF(AK430&lt;&gt;"",AK430/43560,""),"—")</f>
        <v/>
      </c>
      <c r="AN430" s="14">
        <f>IFERROR(IF(AL430="","",IF(AL430&lt;2,"Residential (&lt;2ac)",IF(AL430&lt;10,"Small Rural (2-10ac)",IF(AL430&lt;40,"Rural (10-40ac)",IF(AL430&lt;100,"Farm/Estate (40-100ac)","Large Farm (100+ac)"))))),"—")</f>
        <v/>
      </c>
      <c r="AZ430" s="21" t="n"/>
      <c r="BF430" s="21" t="n"/>
      <c r="BG430" s="21" t="n"/>
      <c r="BH430" s="22">
        <f>IFERROR(IF(AND(BF430&lt;&gt;"",BG430&lt;&gt;""),AVERAGE(BF430,BG430),""),"—")</f>
        <v/>
      </c>
      <c r="BK430" s="21" t="n"/>
      <c r="BM430" s="21" t="n"/>
      <c r="BN430" s="28">
        <f>IFERROR(IF(AND(BK430&lt;&gt;"",BM430&lt;&gt;""),IF(BM430&lt;BK430,1,0),""),"")</f>
        <v/>
      </c>
      <c r="BP430" s="21" t="n"/>
      <c r="BS430" s="29">
        <f>IFERROR(IF(AND(BH430&lt;&gt;"",BK430&lt;&gt;""),(BH430-BK430)/BK430,""),"—")</f>
        <v/>
      </c>
      <c r="BT430" s="29">
        <f>IFERROR(IF(AND(BH430&lt;&gt;"",BP430&lt;&gt;""),(BH430-BP430)/BP430,""),"—")</f>
        <v/>
      </c>
      <c r="BU430" s="29">
        <f>IFERROR(IF(AND(BK430&lt;&gt;"",BP430&lt;&gt;""),(BP430-BK430)/BK430,""),"—")</f>
        <v/>
      </c>
    </row>
    <row r="431">
      <c r="AK431" s="14">
        <f>IFERROR(IF(AND(AG431&lt;&gt;"",AH431&lt;&gt;""),AG431*AH431,IF(AI431&lt;&gt;"",AI431,IF(AJ431&lt;&gt;"",AJ431*43560,""))),"ERROR")</f>
        <v/>
      </c>
      <c r="AL431" s="15">
        <f>IFERROR(IF(AK431&lt;&gt;"",AK431/43560,""),"—")</f>
        <v/>
      </c>
      <c r="AN431" s="14">
        <f>IFERROR(IF(AL431="","",IF(AL431&lt;2,"Residential (&lt;2ac)",IF(AL431&lt;10,"Small Rural (2-10ac)",IF(AL431&lt;40,"Rural (10-40ac)",IF(AL431&lt;100,"Farm/Estate (40-100ac)","Large Farm (100+ac)"))))),"—")</f>
        <v/>
      </c>
      <c r="AZ431" s="21" t="n"/>
      <c r="BF431" s="21" t="n"/>
      <c r="BG431" s="21" t="n"/>
      <c r="BH431" s="22">
        <f>IFERROR(IF(AND(BF431&lt;&gt;"",BG431&lt;&gt;""),AVERAGE(BF431,BG431),""),"—")</f>
        <v/>
      </c>
      <c r="BK431" s="21" t="n"/>
      <c r="BM431" s="21" t="n"/>
      <c r="BN431" s="28">
        <f>IFERROR(IF(AND(BK431&lt;&gt;"",BM431&lt;&gt;""),IF(BM431&lt;BK431,1,0),""),"")</f>
        <v/>
      </c>
      <c r="BP431" s="21" t="n"/>
      <c r="BS431" s="29">
        <f>IFERROR(IF(AND(BH431&lt;&gt;"",BK431&lt;&gt;""),(BH431-BK431)/BK431,""),"—")</f>
        <v/>
      </c>
      <c r="BT431" s="29">
        <f>IFERROR(IF(AND(BH431&lt;&gt;"",BP431&lt;&gt;""),(BH431-BP431)/BP431,""),"—")</f>
        <v/>
      </c>
      <c r="BU431" s="29">
        <f>IFERROR(IF(AND(BK431&lt;&gt;"",BP431&lt;&gt;""),(BP431-BK431)/BK431,""),"—")</f>
        <v/>
      </c>
    </row>
    <row r="432">
      <c r="AK432" s="14">
        <f>IFERROR(IF(AND(AG432&lt;&gt;"",AH432&lt;&gt;""),AG432*AH432,IF(AI432&lt;&gt;"",AI432,IF(AJ432&lt;&gt;"",AJ432*43560,""))),"ERROR")</f>
        <v/>
      </c>
      <c r="AL432" s="15">
        <f>IFERROR(IF(AK432&lt;&gt;"",AK432/43560,""),"—")</f>
        <v/>
      </c>
      <c r="AN432" s="14">
        <f>IFERROR(IF(AL432="","",IF(AL432&lt;2,"Residential (&lt;2ac)",IF(AL432&lt;10,"Small Rural (2-10ac)",IF(AL432&lt;40,"Rural (10-40ac)",IF(AL432&lt;100,"Farm/Estate (40-100ac)","Large Farm (100+ac)"))))),"—")</f>
        <v/>
      </c>
      <c r="AZ432" s="21" t="n"/>
      <c r="BF432" s="21" t="n"/>
      <c r="BG432" s="21" t="n"/>
      <c r="BH432" s="22">
        <f>IFERROR(IF(AND(BF432&lt;&gt;"",BG432&lt;&gt;""),AVERAGE(BF432,BG432),""),"—")</f>
        <v/>
      </c>
      <c r="BK432" s="21" t="n"/>
      <c r="BM432" s="21" t="n"/>
      <c r="BN432" s="28">
        <f>IFERROR(IF(AND(BK432&lt;&gt;"",BM432&lt;&gt;""),IF(BM432&lt;BK432,1,0),""),"")</f>
        <v/>
      </c>
      <c r="BP432" s="21" t="n"/>
      <c r="BS432" s="29">
        <f>IFERROR(IF(AND(BH432&lt;&gt;"",BK432&lt;&gt;""),(BH432-BK432)/BK432,""),"—")</f>
        <v/>
      </c>
      <c r="BT432" s="29">
        <f>IFERROR(IF(AND(BH432&lt;&gt;"",BP432&lt;&gt;""),(BH432-BP432)/BP432,""),"—")</f>
        <v/>
      </c>
      <c r="BU432" s="29">
        <f>IFERROR(IF(AND(BK432&lt;&gt;"",BP432&lt;&gt;""),(BP432-BK432)/BK432,""),"—")</f>
        <v/>
      </c>
    </row>
    <row r="433">
      <c r="AK433" s="14">
        <f>IFERROR(IF(AND(AG433&lt;&gt;"",AH433&lt;&gt;""),AG433*AH433,IF(AI433&lt;&gt;"",AI433,IF(AJ433&lt;&gt;"",AJ433*43560,""))),"ERROR")</f>
        <v/>
      </c>
      <c r="AL433" s="15">
        <f>IFERROR(IF(AK433&lt;&gt;"",AK433/43560,""),"—")</f>
        <v/>
      </c>
      <c r="AN433" s="14">
        <f>IFERROR(IF(AL433="","",IF(AL433&lt;2,"Residential (&lt;2ac)",IF(AL433&lt;10,"Small Rural (2-10ac)",IF(AL433&lt;40,"Rural (10-40ac)",IF(AL433&lt;100,"Farm/Estate (40-100ac)","Large Farm (100+ac)"))))),"—")</f>
        <v/>
      </c>
      <c r="AZ433" s="21" t="n"/>
      <c r="BF433" s="21" t="n"/>
      <c r="BG433" s="21" t="n"/>
      <c r="BH433" s="22">
        <f>IFERROR(IF(AND(BF433&lt;&gt;"",BG433&lt;&gt;""),AVERAGE(BF433,BG433),""),"—")</f>
        <v/>
      </c>
      <c r="BK433" s="21" t="n"/>
      <c r="BM433" s="21" t="n"/>
      <c r="BN433" s="28">
        <f>IFERROR(IF(AND(BK433&lt;&gt;"",BM433&lt;&gt;""),IF(BM433&lt;BK433,1,0),""),"")</f>
        <v/>
      </c>
      <c r="BP433" s="21" t="n"/>
      <c r="BS433" s="29">
        <f>IFERROR(IF(AND(BH433&lt;&gt;"",BK433&lt;&gt;""),(BH433-BK433)/BK433,""),"—")</f>
        <v/>
      </c>
      <c r="BT433" s="29">
        <f>IFERROR(IF(AND(BH433&lt;&gt;"",BP433&lt;&gt;""),(BH433-BP433)/BP433,""),"—")</f>
        <v/>
      </c>
      <c r="BU433" s="29">
        <f>IFERROR(IF(AND(BK433&lt;&gt;"",BP433&lt;&gt;""),(BP433-BK433)/BK433,""),"—")</f>
        <v/>
      </c>
    </row>
    <row r="434">
      <c r="AK434" s="14">
        <f>IFERROR(IF(AND(AG434&lt;&gt;"",AH434&lt;&gt;""),AG434*AH434,IF(AI434&lt;&gt;"",AI434,IF(AJ434&lt;&gt;"",AJ434*43560,""))),"ERROR")</f>
        <v/>
      </c>
      <c r="AL434" s="15">
        <f>IFERROR(IF(AK434&lt;&gt;"",AK434/43560,""),"—")</f>
        <v/>
      </c>
      <c r="AN434" s="14">
        <f>IFERROR(IF(AL434="","",IF(AL434&lt;2,"Residential (&lt;2ac)",IF(AL434&lt;10,"Small Rural (2-10ac)",IF(AL434&lt;40,"Rural (10-40ac)",IF(AL434&lt;100,"Farm/Estate (40-100ac)","Large Farm (100+ac)"))))),"—")</f>
        <v/>
      </c>
      <c r="AZ434" s="21" t="n"/>
      <c r="BF434" s="21" t="n"/>
      <c r="BG434" s="21" t="n"/>
      <c r="BH434" s="22">
        <f>IFERROR(IF(AND(BF434&lt;&gt;"",BG434&lt;&gt;""),AVERAGE(BF434,BG434),""),"—")</f>
        <v/>
      </c>
      <c r="BK434" s="21" t="n"/>
      <c r="BM434" s="21" t="n"/>
      <c r="BN434" s="28">
        <f>IFERROR(IF(AND(BK434&lt;&gt;"",BM434&lt;&gt;""),IF(BM434&lt;BK434,1,0),""),"")</f>
        <v/>
      </c>
      <c r="BP434" s="21" t="n"/>
      <c r="BS434" s="29">
        <f>IFERROR(IF(AND(BH434&lt;&gt;"",BK434&lt;&gt;""),(BH434-BK434)/BK434,""),"—")</f>
        <v/>
      </c>
      <c r="BT434" s="29">
        <f>IFERROR(IF(AND(BH434&lt;&gt;"",BP434&lt;&gt;""),(BH434-BP434)/BP434,""),"—")</f>
        <v/>
      </c>
      <c r="BU434" s="29">
        <f>IFERROR(IF(AND(BK434&lt;&gt;"",BP434&lt;&gt;""),(BP434-BK434)/BK434,""),"—")</f>
        <v/>
      </c>
    </row>
    <row r="435">
      <c r="AK435" s="14">
        <f>IFERROR(IF(AND(AG435&lt;&gt;"",AH435&lt;&gt;""),AG435*AH435,IF(AI435&lt;&gt;"",AI435,IF(AJ435&lt;&gt;"",AJ435*43560,""))),"ERROR")</f>
        <v/>
      </c>
      <c r="AL435" s="15">
        <f>IFERROR(IF(AK435&lt;&gt;"",AK435/43560,""),"—")</f>
        <v/>
      </c>
      <c r="AN435" s="14">
        <f>IFERROR(IF(AL435="","",IF(AL435&lt;2,"Residential (&lt;2ac)",IF(AL435&lt;10,"Small Rural (2-10ac)",IF(AL435&lt;40,"Rural (10-40ac)",IF(AL435&lt;100,"Farm/Estate (40-100ac)","Large Farm (100+ac)"))))),"—")</f>
        <v/>
      </c>
      <c r="AZ435" s="21" t="n"/>
      <c r="BF435" s="21" t="n"/>
      <c r="BG435" s="21" t="n"/>
      <c r="BH435" s="22">
        <f>IFERROR(IF(AND(BF435&lt;&gt;"",BG435&lt;&gt;""),AVERAGE(BF435,BG435),""),"—")</f>
        <v/>
      </c>
      <c r="BK435" s="21" t="n"/>
      <c r="BM435" s="21" t="n"/>
      <c r="BN435" s="28">
        <f>IFERROR(IF(AND(BK435&lt;&gt;"",BM435&lt;&gt;""),IF(BM435&lt;BK435,1,0),""),"")</f>
        <v/>
      </c>
      <c r="BP435" s="21" t="n"/>
      <c r="BS435" s="29">
        <f>IFERROR(IF(AND(BH435&lt;&gt;"",BK435&lt;&gt;""),(BH435-BK435)/BK435,""),"—")</f>
        <v/>
      </c>
      <c r="BT435" s="29">
        <f>IFERROR(IF(AND(BH435&lt;&gt;"",BP435&lt;&gt;""),(BH435-BP435)/BP435,""),"—")</f>
        <v/>
      </c>
      <c r="BU435" s="29">
        <f>IFERROR(IF(AND(BK435&lt;&gt;"",BP435&lt;&gt;""),(BP435-BK435)/BK435,""),"—")</f>
        <v/>
      </c>
    </row>
    <row r="436">
      <c r="AK436" s="14">
        <f>IFERROR(IF(AND(AG436&lt;&gt;"",AH436&lt;&gt;""),AG436*AH436,IF(AI436&lt;&gt;"",AI436,IF(AJ436&lt;&gt;"",AJ436*43560,""))),"ERROR")</f>
        <v/>
      </c>
      <c r="AL436" s="15">
        <f>IFERROR(IF(AK436&lt;&gt;"",AK436/43560,""),"—")</f>
        <v/>
      </c>
      <c r="AN436" s="14">
        <f>IFERROR(IF(AL436="","",IF(AL436&lt;2,"Residential (&lt;2ac)",IF(AL436&lt;10,"Small Rural (2-10ac)",IF(AL436&lt;40,"Rural (10-40ac)",IF(AL436&lt;100,"Farm/Estate (40-100ac)","Large Farm (100+ac)"))))),"—")</f>
        <v/>
      </c>
      <c r="AZ436" s="21" t="n"/>
      <c r="BF436" s="21" t="n"/>
      <c r="BG436" s="21" t="n"/>
      <c r="BH436" s="22">
        <f>IFERROR(IF(AND(BF436&lt;&gt;"",BG436&lt;&gt;""),AVERAGE(BF436,BG436),""),"—")</f>
        <v/>
      </c>
      <c r="BK436" s="21" t="n"/>
      <c r="BM436" s="21" t="n"/>
      <c r="BN436" s="28">
        <f>IFERROR(IF(AND(BK436&lt;&gt;"",BM436&lt;&gt;""),IF(BM436&lt;BK436,1,0),""),"")</f>
        <v/>
      </c>
      <c r="BP436" s="21" t="n"/>
      <c r="BS436" s="29">
        <f>IFERROR(IF(AND(BH436&lt;&gt;"",BK436&lt;&gt;""),(BH436-BK436)/BK436,""),"—")</f>
        <v/>
      </c>
      <c r="BT436" s="29">
        <f>IFERROR(IF(AND(BH436&lt;&gt;"",BP436&lt;&gt;""),(BH436-BP436)/BP436,""),"—")</f>
        <v/>
      </c>
      <c r="BU436" s="29">
        <f>IFERROR(IF(AND(BK436&lt;&gt;"",BP436&lt;&gt;""),(BP436-BK436)/BK436,""),"—")</f>
        <v/>
      </c>
    </row>
    <row r="437">
      <c r="AK437" s="14">
        <f>IFERROR(IF(AND(AG437&lt;&gt;"",AH437&lt;&gt;""),AG437*AH437,IF(AI437&lt;&gt;"",AI437,IF(AJ437&lt;&gt;"",AJ437*43560,""))),"ERROR")</f>
        <v/>
      </c>
      <c r="AL437" s="15">
        <f>IFERROR(IF(AK437&lt;&gt;"",AK437/43560,""),"—")</f>
        <v/>
      </c>
      <c r="AN437" s="14">
        <f>IFERROR(IF(AL437="","",IF(AL437&lt;2,"Residential (&lt;2ac)",IF(AL437&lt;10,"Small Rural (2-10ac)",IF(AL437&lt;40,"Rural (10-40ac)",IF(AL437&lt;100,"Farm/Estate (40-100ac)","Large Farm (100+ac)"))))),"—")</f>
        <v/>
      </c>
      <c r="AZ437" s="21" t="n"/>
      <c r="BF437" s="21" t="n"/>
      <c r="BG437" s="21" t="n"/>
      <c r="BH437" s="22">
        <f>IFERROR(IF(AND(BF437&lt;&gt;"",BG437&lt;&gt;""),AVERAGE(BF437,BG437),""),"—")</f>
        <v/>
      </c>
      <c r="BK437" s="21" t="n"/>
      <c r="BM437" s="21" t="n"/>
      <c r="BN437" s="28">
        <f>IFERROR(IF(AND(BK437&lt;&gt;"",BM437&lt;&gt;""),IF(BM437&lt;BK437,1,0),""),"")</f>
        <v/>
      </c>
      <c r="BP437" s="21" t="n"/>
      <c r="BS437" s="29">
        <f>IFERROR(IF(AND(BH437&lt;&gt;"",BK437&lt;&gt;""),(BH437-BK437)/BK437,""),"—")</f>
        <v/>
      </c>
      <c r="BT437" s="29">
        <f>IFERROR(IF(AND(BH437&lt;&gt;"",BP437&lt;&gt;""),(BH437-BP437)/BP437,""),"—")</f>
        <v/>
      </c>
      <c r="BU437" s="29">
        <f>IFERROR(IF(AND(BK437&lt;&gt;"",BP437&lt;&gt;""),(BP437-BK437)/BK437,""),"—")</f>
        <v/>
      </c>
    </row>
    <row r="438">
      <c r="AK438" s="14">
        <f>IFERROR(IF(AND(AG438&lt;&gt;"",AH438&lt;&gt;""),AG438*AH438,IF(AI438&lt;&gt;"",AI438,IF(AJ438&lt;&gt;"",AJ438*43560,""))),"ERROR")</f>
        <v/>
      </c>
      <c r="AL438" s="15">
        <f>IFERROR(IF(AK438&lt;&gt;"",AK438/43560,""),"—")</f>
        <v/>
      </c>
      <c r="AN438" s="14">
        <f>IFERROR(IF(AL438="","",IF(AL438&lt;2,"Residential (&lt;2ac)",IF(AL438&lt;10,"Small Rural (2-10ac)",IF(AL438&lt;40,"Rural (10-40ac)",IF(AL438&lt;100,"Farm/Estate (40-100ac)","Large Farm (100+ac)"))))),"—")</f>
        <v/>
      </c>
      <c r="AZ438" s="21" t="n"/>
      <c r="BF438" s="21" t="n"/>
      <c r="BG438" s="21" t="n"/>
      <c r="BH438" s="22">
        <f>IFERROR(IF(AND(BF438&lt;&gt;"",BG438&lt;&gt;""),AVERAGE(BF438,BG438),""),"—")</f>
        <v/>
      </c>
      <c r="BK438" s="21" t="n"/>
      <c r="BM438" s="21" t="n"/>
      <c r="BN438" s="28">
        <f>IFERROR(IF(AND(BK438&lt;&gt;"",BM438&lt;&gt;""),IF(BM438&lt;BK438,1,0),""),"")</f>
        <v/>
      </c>
      <c r="BP438" s="21" t="n"/>
      <c r="BS438" s="29">
        <f>IFERROR(IF(AND(BH438&lt;&gt;"",BK438&lt;&gt;""),(BH438-BK438)/BK438,""),"—")</f>
        <v/>
      </c>
      <c r="BT438" s="29">
        <f>IFERROR(IF(AND(BH438&lt;&gt;"",BP438&lt;&gt;""),(BH438-BP438)/BP438,""),"—")</f>
        <v/>
      </c>
      <c r="BU438" s="29">
        <f>IFERROR(IF(AND(BK438&lt;&gt;"",BP438&lt;&gt;""),(BP438-BK438)/BK438,""),"—")</f>
        <v/>
      </c>
    </row>
    <row r="439">
      <c r="AK439" s="14">
        <f>IFERROR(IF(AND(AG439&lt;&gt;"",AH439&lt;&gt;""),AG439*AH439,IF(AI439&lt;&gt;"",AI439,IF(AJ439&lt;&gt;"",AJ439*43560,""))),"ERROR")</f>
        <v/>
      </c>
      <c r="AL439" s="15">
        <f>IFERROR(IF(AK439&lt;&gt;"",AK439/43560,""),"—")</f>
        <v/>
      </c>
      <c r="AN439" s="14">
        <f>IFERROR(IF(AL439="","",IF(AL439&lt;2,"Residential (&lt;2ac)",IF(AL439&lt;10,"Small Rural (2-10ac)",IF(AL439&lt;40,"Rural (10-40ac)",IF(AL439&lt;100,"Farm/Estate (40-100ac)","Large Farm (100+ac)"))))),"—")</f>
        <v/>
      </c>
      <c r="AZ439" s="21" t="n"/>
      <c r="BF439" s="21" t="n"/>
      <c r="BG439" s="21" t="n"/>
      <c r="BH439" s="22">
        <f>IFERROR(IF(AND(BF439&lt;&gt;"",BG439&lt;&gt;""),AVERAGE(BF439,BG439),""),"—")</f>
        <v/>
      </c>
      <c r="BK439" s="21" t="n"/>
      <c r="BM439" s="21" t="n"/>
      <c r="BN439" s="28">
        <f>IFERROR(IF(AND(BK439&lt;&gt;"",BM439&lt;&gt;""),IF(BM439&lt;BK439,1,0),""),"")</f>
        <v/>
      </c>
      <c r="BP439" s="21" t="n"/>
      <c r="BS439" s="29">
        <f>IFERROR(IF(AND(BH439&lt;&gt;"",BK439&lt;&gt;""),(BH439-BK439)/BK439,""),"—")</f>
        <v/>
      </c>
      <c r="BT439" s="29">
        <f>IFERROR(IF(AND(BH439&lt;&gt;"",BP439&lt;&gt;""),(BH439-BP439)/BP439,""),"—")</f>
        <v/>
      </c>
      <c r="BU439" s="29">
        <f>IFERROR(IF(AND(BK439&lt;&gt;"",BP439&lt;&gt;""),(BP439-BK439)/BK439,""),"—")</f>
        <v/>
      </c>
    </row>
    <row r="440">
      <c r="AK440" s="14">
        <f>IFERROR(IF(AND(AG440&lt;&gt;"",AH440&lt;&gt;""),AG440*AH440,IF(AI440&lt;&gt;"",AI440,IF(AJ440&lt;&gt;"",AJ440*43560,""))),"ERROR")</f>
        <v/>
      </c>
      <c r="AL440" s="15">
        <f>IFERROR(IF(AK440&lt;&gt;"",AK440/43560,""),"—")</f>
        <v/>
      </c>
      <c r="AN440" s="14">
        <f>IFERROR(IF(AL440="","",IF(AL440&lt;2,"Residential (&lt;2ac)",IF(AL440&lt;10,"Small Rural (2-10ac)",IF(AL440&lt;40,"Rural (10-40ac)",IF(AL440&lt;100,"Farm/Estate (40-100ac)","Large Farm (100+ac)"))))),"—")</f>
        <v/>
      </c>
      <c r="AZ440" s="21" t="n"/>
      <c r="BF440" s="21" t="n"/>
      <c r="BG440" s="21" t="n"/>
      <c r="BH440" s="22">
        <f>IFERROR(IF(AND(BF440&lt;&gt;"",BG440&lt;&gt;""),AVERAGE(BF440,BG440),""),"—")</f>
        <v/>
      </c>
      <c r="BK440" s="21" t="n"/>
      <c r="BM440" s="21" t="n"/>
      <c r="BN440" s="28">
        <f>IFERROR(IF(AND(BK440&lt;&gt;"",BM440&lt;&gt;""),IF(BM440&lt;BK440,1,0),""),"")</f>
        <v/>
      </c>
      <c r="BP440" s="21" t="n"/>
      <c r="BS440" s="29">
        <f>IFERROR(IF(AND(BH440&lt;&gt;"",BK440&lt;&gt;""),(BH440-BK440)/BK440,""),"—")</f>
        <v/>
      </c>
      <c r="BT440" s="29">
        <f>IFERROR(IF(AND(BH440&lt;&gt;"",BP440&lt;&gt;""),(BH440-BP440)/BP440,""),"—")</f>
        <v/>
      </c>
      <c r="BU440" s="29">
        <f>IFERROR(IF(AND(BK440&lt;&gt;"",BP440&lt;&gt;""),(BP440-BK440)/BK440,""),"—")</f>
        <v/>
      </c>
    </row>
    <row r="441">
      <c r="AK441" s="14">
        <f>IFERROR(IF(AND(AG441&lt;&gt;"",AH441&lt;&gt;""),AG441*AH441,IF(AI441&lt;&gt;"",AI441,IF(AJ441&lt;&gt;"",AJ441*43560,""))),"ERROR")</f>
        <v/>
      </c>
      <c r="AL441" s="15">
        <f>IFERROR(IF(AK441&lt;&gt;"",AK441/43560,""),"—")</f>
        <v/>
      </c>
      <c r="AN441" s="14">
        <f>IFERROR(IF(AL441="","",IF(AL441&lt;2,"Residential (&lt;2ac)",IF(AL441&lt;10,"Small Rural (2-10ac)",IF(AL441&lt;40,"Rural (10-40ac)",IF(AL441&lt;100,"Farm/Estate (40-100ac)","Large Farm (100+ac)"))))),"—")</f>
        <v/>
      </c>
      <c r="AZ441" s="21" t="n"/>
      <c r="BF441" s="21" t="n"/>
      <c r="BG441" s="21" t="n"/>
      <c r="BH441" s="22">
        <f>IFERROR(IF(AND(BF441&lt;&gt;"",BG441&lt;&gt;""),AVERAGE(BF441,BG441),""),"—")</f>
        <v/>
      </c>
      <c r="BK441" s="21" t="n"/>
      <c r="BM441" s="21" t="n"/>
      <c r="BN441" s="28">
        <f>IFERROR(IF(AND(BK441&lt;&gt;"",BM441&lt;&gt;""),IF(BM441&lt;BK441,1,0),""),"")</f>
        <v/>
      </c>
      <c r="BP441" s="21" t="n"/>
      <c r="BS441" s="29">
        <f>IFERROR(IF(AND(BH441&lt;&gt;"",BK441&lt;&gt;""),(BH441-BK441)/BK441,""),"—")</f>
        <v/>
      </c>
      <c r="BT441" s="29">
        <f>IFERROR(IF(AND(BH441&lt;&gt;"",BP441&lt;&gt;""),(BH441-BP441)/BP441,""),"—")</f>
        <v/>
      </c>
      <c r="BU441" s="29">
        <f>IFERROR(IF(AND(BK441&lt;&gt;"",BP441&lt;&gt;""),(BP441-BK441)/BK441,""),"—")</f>
        <v/>
      </c>
    </row>
    <row r="442">
      <c r="AK442" s="14">
        <f>IFERROR(IF(AND(AG442&lt;&gt;"",AH442&lt;&gt;""),AG442*AH442,IF(AI442&lt;&gt;"",AI442,IF(AJ442&lt;&gt;"",AJ442*43560,""))),"ERROR")</f>
        <v/>
      </c>
      <c r="AL442" s="15">
        <f>IFERROR(IF(AK442&lt;&gt;"",AK442/43560,""),"—")</f>
        <v/>
      </c>
      <c r="AN442" s="14">
        <f>IFERROR(IF(AL442="","",IF(AL442&lt;2,"Residential (&lt;2ac)",IF(AL442&lt;10,"Small Rural (2-10ac)",IF(AL442&lt;40,"Rural (10-40ac)",IF(AL442&lt;100,"Farm/Estate (40-100ac)","Large Farm (100+ac)"))))),"—")</f>
        <v/>
      </c>
      <c r="AZ442" s="21" t="n"/>
      <c r="BF442" s="21" t="n"/>
      <c r="BG442" s="21" t="n"/>
      <c r="BH442" s="22">
        <f>IFERROR(IF(AND(BF442&lt;&gt;"",BG442&lt;&gt;""),AVERAGE(BF442,BG442),""),"—")</f>
        <v/>
      </c>
      <c r="BK442" s="21" t="n"/>
      <c r="BM442" s="21" t="n"/>
      <c r="BN442" s="28">
        <f>IFERROR(IF(AND(BK442&lt;&gt;"",BM442&lt;&gt;""),IF(BM442&lt;BK442,1,0),""),"")</f>
        <v/>
      </c>
      <c r="BP442" s="21" t="n"/>
      <c r="BS442" s="29">
        <f>IFERROR(IF(AND(BH442&lt;&gt;"",BK442&lt;&gt;""),(BH442-BK442)/BK442,""),"—")</f>
        <v/>
      </c>
      <c r="BT442" s="29">
        <f>IFERROR(IF(AND(BH442&lt;&gt;"",BP442&lt;&gt;""),(BH442-BP442)/BP442,""),"—")</f>
        <v/>
      </c>
      <c r="BU442" s="29">
        <f>IFERROR(IF(AND(BK442&lt;&gt;"",BP442&lt;&gt;""),(BP442-BK442)/BK442,""),"—")</f>
        <v/>
      </c>
    </row>
    <row r="443">
      <c r="AK443" s="14">
        <f>IFERROR(IF(AND(AG443&lt;&gt;"",AH443&lt;&gt;""),AG443*AH443,IF(AI443&lt;&gt;"",AI443,IF(AJ443&lt;&gt;"",AJ443*43560,""))),"ERROR")</f>
        <v/>
      </c>
      <c r="AL443" s="15">
        <f>IFERROR(IF(AK443&lt;&gt;"",AK443/43560,""),"—")</f>
        <v/>
      </c>
      <c r="AN443" s="14">
        <f>IFERROR(IF(AL443="","",IF(AL443&lt;2,"Residential (&lt;2ac)",IF(AL443&lt;10,"Small Rural (2-10ac)",IF(AL443&lt;40,"Rural (10-40ac)",IF(AL443&lt;100,"Farm/Estate (40-100ac)","Large Farm (100+ac)"))))),"—")</f>
        <v/>
      </c>
      <c r="AZ443" s="21" t="n"/>
      <c r="BF443" s="21" t="n"/>
      <c r="BG443" s="21" t="n"/>
      <c r="BH443" s="22">
        <f>IFERROR(IF(AND(BF443&lt;&gt;"",BG443&lt;&gt;""),AVERAGE(BF443,BG443),""),"—")</f>
        <v/>
      </c>
      <c r="BK443" s="21" t="n"/>
      <c r="BM443" s="21" t="n"/>
      <c r="BN443" s="28">
        <f>IFERROR(IF(AND(BK443&lt;&gt;"",BM443&lt;&gt;""),IF(BM443&lt;BK443,1,0),""),"")</f>
        <v/>
      </c>
      <c r="BP443" s="21" t="n"/>
      <c r="BS443" s="29">
        <f>IFERROR(IF(AND(BH443&lt;&gt;"",BK443&lt;&gt;""),(BH443-BK443)/BK443,""),"—")</f>
        <v/>
      </c>
      <c r="BT443" s="29">
        <f>IFERROR(IF(AND(BH443&lt;&gt;"",BP443&lt;&gt;""),(BH443-BP443)/BP443,""),"—")</f>
        <v/>
      </c>
      <c r="BU443" s="29">
        <f>IFERROR(IF(AND(BK443&lt;&gt;"",BP443&lt;&gt;""),(BP443-BK443)/BK443,""),"—")</f>
        <v/>
      </c>
    </row>
    <row r="444">
      <c r="AK444" s="14">
        <f>IFERROR(IF(AND(AG444&lt;&gt;"",AH444&lt;&gt;""),AG444*AH444,IF(AI444&lt;&gt;"",AI444,IF(AJ444&lt;&gt;"",AJ444*43560,""))),"ERROR")</f>
        <v/>
      </c>
      <c r="AL444" s="15">
        <f>IFERROR(IF(AK444&lt;&gt;"",AK444/43560,""),"—")</f>
        <v/>
      </c>
      <c r="AN444" s="14">
        <f>IFERROR(IF(AL444="","",IF(AL444&lt;2,"Residential (&lt;2ac)",IF(AL444&lt;10,"Small Rural (2-10ac)",IF(AL444&lt;40,"Rural (10-40ac)",IF(AL444&lt;100,"Farm/Estate (40-100ac)","Large Farm (100+ac)"))))),"—")</f>
        <v/>
      </c>
      <c r="AZ444" s="21" t="n"/>
      <c r="BF444" s="21" t="n"/>
      <c r="BG444" s="21" t="n"/>
      <c r="BH444" s="22">
        <f>IFERROR(IF(AND(BF444&lt;&gt;"",BG444&lt;&gt;""),AVERAGE(BF444,BG444),""),"—")</f>
        <v/>
      </c>
      <c r="BK444" s="21" t="n"/>
      <c r="BM444" s="21" t="n"/>
      <c r="BN444" s="28">
        <f>IFERROR(IF(AND(BK444&lt;&gt;"",BM444&lt;&gt;""),IF(BM444&lt;BK444,1,0),""),"")</f>
        <v/>
      </c>
      <c r="BP444" s="21" t="n"/>
      <c r="BS444" s="29">
        <f>IFERROR(IF(AND(BH444&lt;&gt;"",BK444&lt;&gt;""),(BH444-BK444)/BK444,""),"—")</f>
        <v/>
      </c>
      <c r="BT444" s="29">
        <f>IFERROR(IF(AND(BH444&lt;&gt;"",BP444&lt;&gt;""),(BH444-BP444)/BP444,""),"—")</f>
        <v/>
      </c>
      <c r="BU444" s="29">
        <f>IFERROR(IF(AND(BK444&lt;&gt;"",BP444&lt;&gt;""),(BP444-BK444)/BK444,""),"—")</f>
        <v/>
      </c>
    </row>
    <row r="445">
      <c r="AK445" s="14">
        <f>IFERROR(IF(AND(AG445&lt;&gt;"",AH445&lt;&gt;""),AG445*AH445,IF(AI445&lt;&gt;"",AI445,IF(AJ445&lt;&gt;"",AJ445*43560,""))),"ERROR")</f>
        <v/>
      </c>
      <c r="AL445" s="15">
        <f>IFERROR(IF(AK445&lt;&gt;"",AK445/43560,""),"—")</f>
        <v/>
      </c>
      <c r="AN445" s="14">
        <f>IFERROR(IF(AL445="","",IF(AL445&lt;2,"Residential (&lt;2ac)",IF(AL445&lt;10,"Small Rural (2-10ac)",IF(AL445&lt;40,"Rural (10-40ac)",IF(AL445&lt;100,"Farm/Estate (40-100ac)","Large Farm (100+ac)"))))),"—")</f>
        <v/>
      </c>
      <c r="AZ445" s="21" t="n"/>
      <c r="BF445" s="21" t="n"/>
      <c r="BG445" s="21" t="n"/>
      <c r="BH445" s="22">
        <f>IFERROR(IF(AND(BF445&lt;&gt;"",BG445&lt;&gt;""),AVERAGE(BF445,BG445),""),"—")</f>
        <v/>
      </c>
      <c r="BK445" s="21" t="n"/>
      <c r="BM445" s="21" t="n"/>
      <c r="BN445" s="28">
        <f>IFERROR(IF(AND(BK445&lt;&gt;"",BM445&lt;&gt;""),IF(BM445&lt;BK445,1,0),""),"")</f>
        <v/>
      </c>
      <c r="BP445" s="21" t="n"/>
      <c r="BS445" s="29">
        <f>IFERROR(IF(AND(BH445&lt;&gt;"",BK445&lt;&gt;""),(BH445-BK445)/BK445,""),"—")</f>
        <v/>
      </c>
      <c r="BT445" s="29">
        <f>IFERROR(IF(AND(BH445&lt;&gt;"",BP445&lt;&gt;""),(BH445-BP445)/BP445,""),"—")</f>
        <v/>
      </c>
      <c r="BU445" s="29">
        <f>IFERROR(IF(AND(BK445&lt;&gt;"",BP445&lt;&gt;""),(BP445-BK445)/BK445,""),"—")</f>
        <v/>
      </c>
    </row>
    <row r="446">
      <c r="AK446" s="14">
        <f>IFERROR(IF(AND(AG446&lt;&gt;"",AH446&lt;&gt;""),AG446*AH446,IF(AI446&lt;&gt;"",AI446,IF(AJ446&lt;&gt;"",AJ446*43560,""))),"ERROR")</f>
        <v/>
      </c>
      <c r="AL446" s="15">
        <f>IFERROR(IF(AK446&lt;&gt;"",AK446/43560,""),"—")</f>
        <v/>
      </c>
      <c r="AN446" s="14">
        <f>IFERROR(IF(AL446="","",IF(AL446&lt;2,"Residential (&lt;2ac)",IF(AL446&lt;10,"Small Rural (2-10ac)",IF(AL446&lt;40,"Rural (10-40ac)",IF(AL446&lt;100,"Farm/Estate (40-100ac)","Large Farm (100+ac)"))))),"—")</f>
        <v/>
      </c>
      <c r="AZ446" s="21" t="n"/>
      <c r="BF446" s="21" t="n"/>
      <c r="BG446" s="21" t="n"/>
      <c r="BH446" s="22">
        <f>IFERROR(IF(AND(BF446&lt;&gt;"",BG446&lt;&gt;""),AVERAGE(BF446,BG446),""),"—")</f>
        <v/>
      </c>
      <c r="BK446" s="21" t="n"/>
      <c r="BM446" s="21" t="n"/>
      <c r="BN446" s="28">
        <f>IFERROR(IF(AND(BK446&lt;&gt;"",BM446&lt;&gt;""),IF(BM446&lt;BK446,1,0),""),"")</f>
        <v/>
      </c>
      <c r="BP446" s="21" t="n"/>
      <c r="BS446" s="29">
        <f>IFERROR(IF(AND(BH446&lt;&gt;"",BK446&lt;&gt;""),(BH446-BK446)/BK446,""),"—")</f>
        <v/>
      </c>
      <c r="BT446" s="29">
        <f>IFERROR(IF(AND(BH446&lt;&gt;"",BP446&lt;&gt;""),(BH446-BP446)/BP446,""),"—")</f>
        <v/>
      </c>
      <c r="BU446" s="29">
        <f>IFERROR(IF(AND(BK446&lt;&gt;"",BP446&lt;&gt;""),(BP446-BK446)/BK446,""),"—")</f>
        <v/>
      </c>
    </row>
    <row r="447">
      <c r="AK447" s="14">
        <f>IFERROR(IF(AND(AG447&lt;&gt;"",AH447&lt;&gt;""),AG447*AH447,IF(AI447&lt;&gt;"",AI447,IF(AJ447&lt;&gt;"",AJ447*43560,""))),"ERROR")</f>
        <v/>
      </c>
      <c r="AL447" s="15">
        <f>IFERROR(IF(AK447&lt;&gt;"",AK447/43560,""),"—")</f>
        <v/>
      </c>
      <c r="AN447" s="14">
        <f>IFERROR(IF(AL447="","",IF(AL447&lt;2,"Residential (&lt;2ac)",IF(AL447&lt;10,"Small Rural (2-10ac)",IF(AL447&lt;40,"Rural (10-40ac)",IF(AL447&lt;100,"Farm/Estate (40-100ac)","Large Farm (100+ac)"))))),"—")</f>
        <v/>
      </c>
      <c r="AZ447" s="21" t="n"/>
      <c r="BF447" s="21" t="n"/>
      <c r="BG447" s="21" t="n"/>
      <c r="BH447" s="22">
        <f>IFERROR(IF(AND(BF447&lt;&gt;"",BG447&lt;&gt;""),AVERAGE(BF447,BG447),""),"—")</f>
        <v/>
      </c>
      <c r="BK447" s="21" t="n"/>
      <c r="BM447" s="21" t="n"/>
      <c r="BN447" s="28">
        <f>IFERROR(IF(AND(BK447&lt;&gt;"",BM447&lt;&gt;""),IF(BM447&lt;BK447,1,0),""),"")</f>
        <v/>
      </c>
      <c r="BP447" s="21" t="n"/>
      <c r="BS447" s="29">
        <f>IFERROR(IF(AND(BH447&lt;&gt;"",BK447&lt;&gt;""),(BH447-BK447)/BK447,""),"—")</f>
        <v/>
      </c>
      <c r="BT447" s="29">
        <f>IFERROR(IF(AND(BH447&lt;&gt;"",BP447&lt;&gt;""),(BH447-BP447)/BP447,""),"—")</f>
        <v/>
      </c>
      <c r="BU447" s="29">
        <f>IFERROR(IF(AND(BK447&lt;&gt;"",BP447&lt;&gt;""),(BP447-BK447)/BK447,""),"—")</f>
        <v/>
      </c>
    </row>
    <row r="448">
      <c r="AK448" s="14">
        <f>IFERROR(IF(AND(AG448&lt;&gt;"",AH448&lt;&gt;""),AG448*AH448,IF(AI448&lt;&gt;"",AI448,IF(AJ448&lt;&gt;"",AJ448*43560,""))),"ERROR")</f>
        <v/>
      </c>
      <c r="AL448" s="15">
        <f>IFERROR(IF(AK448&lt;&gt;"",AK448/43560,""),"—")</f>
        <v/>
      </c>
      <c r="AN448" s="14">
        <f>IFERROR(IF(AL448="","",IF(AL448&lt;2,"Residential (&lt;2ac)",IF(AL448&lt;10,"Small Rural (2-10ac)",IF(AL448&lt;40,"Rural (10-40ac)",IF(AL448&lt;100,"Farm/Estate (40-100ac)","Large Farm (100+ac)"))))),"—")</f>
        <v/>
      </c>
      <c r="AZ448" s="21" t="n"/>
      <c r="BF448" s="21" t="n"/>
      <c r="BG448" s="21" t="n"/>
      <c r="BH448" s="22">
        <f>IFERROR(IF(AND(BF448&lt;&gt;"",BG448&lt;&gt;""),AVERAGE(BF448,BG448),""),"—")</f>
        <v/>
      </c>
      <c r="BK448" s="21" t="n"/>
      <c r="BM448" s="21" t="n"/>
      <c r="BN448" s="28">
        <f>IFERROR(IF(AND(BK448&lt;&gt;"",BM448&lt;&gt;""),IF(BM448&lt;BK448,1,0),""),"")</f>
        <v/>
      </c>
      <c r="BP448" s="21" t="n"/>
      <c r="BS448" s="29">
        <f>IFERROR(IF(AND(BH448&lt;&gt;"",BK448&lt;&gt;""),(BH448-BK448)/BK448,""),"—")</f>
        <v/>
      </c>
      <c r="BT448" s="29">
        <f>IFERROR(IF(AND(BH448&lt;&gt;"",BP448&lt;&gt;""),(BH448-BP448)/BP448,""),"—")</f>
        <v/>
      </c>
      <c r="BU448" s="29">
        <f>IFERROR(IF(AND(BK448&lt;&gt;"",BP448&lt;&gt;""),(BP448-BK448)/BK448,""),"—")</f>
        <v/>
      </c>
    </row>
    <row r="449">
      <c r="AK449" s="14">
        <f>IFERROR(IF(AND(AG449&lt;&gt;"",AH449&lt;&gt;""),AG449*AH449,IF(AI449&lt;&gt;"",AI449,IF(AJ449&lt;&gt;"",AJ449*43560,""))),"ERROR")</f>
        <v/>
      </c>
      <c r="AL449" s="15">
        <f>IFERROR(IF(AK449&lt;&gt;"",AK449/43560,""),"—")</f>
        <v/>
      </c>
      <c r="AN449" s="14">
        <f>IFERROR(IF(AL449="","",IF(AL449&lt;2,"Residential (&lt;2ac)",IF(AL449&lt;10,"Small Rural (2-10ac)",IF(AL449&lt;40,"Rural (10-40ac)",IF(AL449&lt;100,"Farm/Estate (40-100ac)","Large Farm (100+ac)"))))),"—")</f>
        <v/>
      </c>
      <c r="AZ449" s="21" t="n"/>
      <c r="BF449" s="21" t="n"/>
      <c r="BG449" s="21" t="n"/>
      <c r="BH449" s="22">
        <f>IFERROR(IF(AND(BF449&lt;&gt;"",BG449&lt;&gt;""),AVERAGE(BF449,BG449),""),"—")</f>
        <v/>
      </c>
      <c r="BK449" s="21" t="n"/>
      <c r="BM449" s="21" t="n"/>
      <c r="BN449" s="28">
        <f>IFERROR(IF(AND(BK449&lt;&gt;"",BM449&lt;&gt;""),IF(BM449&lt;BK449,1,0),""),"")</f>
        <v/>
      </c>
      <c r="BP449" s="21" t="n"/>
      <c r="BS449" s="29">
        <f>IFERROR(IF(AND(BH449&lt;&gt;"",BK449&lt;&gt;""),(BH449-BK449)/BK449,""),"—")</f>
        <v/>
      </c>
      <c r="BT449" s="29">
        <f>IFERROR(IF(AND(BH449&lt;&gt;"",BP449&lt;&gt;""),(BH449-BP449)/BP449,""),"—")</f>
        <v/>
      </c>
      <c r="BU449" s="29">
        <f>IFERROR(IF(AND(BK449&lt;&gt;"",BP449&lt;&gt;""),(BP449-BK449)/BK449,""),"—")</f>
        <v/>
      </c>
    </row>
    <row r="450">
      <c r="AK450" s="14">
        <f>IFERROR(IF(AND(AG450&lt;&gt;"",AH450&lt;&gt;""),AG450*AH450,IF(AI450&lt;&gt;"",AI450,IF(AJ450&lt;&gt;"",AJ450*43560,""))),"ERROR")</f>
        <v/>
      </c>
      <c r="AL450" s="15">
        <f>IFERROR(IF(AK450&lt;&gt;"",AK450/43560,""),"—")</f>
        <v/>
      </c>
      <c r="AN450" s="14">
        <f>IFERROR(IF(AL450="","",IF(AL450&lt;2,"Residential (&lt;2ac)",IF(AL450&lt;10,"Small Rural (2-10ac)",IF(AL450&lt;40,"Rural (10-40ac)",IF(AL450&lt;100,"Farm/Estate (40-100ac)","Large Farm (100+ac)"))))),"—")</f>
        <v/>
      </c>
      <c r="AZ450" s="21" t="n"/>
      <c r="BF450" s="21" t="n"/>
      <c r="BG450" s="21" t="n"/>
      <c r="BH450" s="22">
        <f>IFERROR(IF(AND(BF450&lt;&gt;"",BG450&lt;&gt;""),AVERAGE(BF450,BG450),""),"—")</f>
        <v/>
      </c>
      <c r="BK450" s="21" t="n"/>
      <c r="BM450" s="21" t="n"/>
      <c r="BN450" s="28">
        <f>IFERROR(IF(AND(BK450&lt;&gt;"",BM450&lt;&gt;""),IF(BM450&lt;BK450,1,0),""),"")</f>
        <v/>
      </c>
      <c r="BP450" s="21" t="n"/>
      <c r="BS450" s="29">
        <f>IFERROR(IF(AND(BH450&lt;&gt;"",BK450&lt;&gt;""),(BH450-BK450)/BK450,""),"—")</f>
        <v/>
      </c>
      <c r="BT450" s="29">
        <f>IFERROR(IF(AND(BH450&lt;&gt;"",BP450&lt;&gt;""),(BH450-BP450)/BP450,""),"—")</f>
        <v/>
      </c>
      <c r="BU450" s="29">
        <f>IFERROR(IF(AND(BK450&lt;&gt;"",BP450&lt;&gt;""),(BP450-BK450)/BK450,""),"—")</f>
        <v/>
      </c>
    </row>
    <row r="451">
      <c r="AK451" s="14">
        <f>IFERROR(IF(AND(AG451&lt;&gt;"",AH451&lt;&gt;""),AG451*AH451,IF(AI451&lt;&gt;"",AI451,IF(AJ451&lt;&gt;"",AJ451*43560,""))),"ERROR")</f>
        <v/>
      </c>
      <c r="AL451" s="15">
        <f>IFERROR(IF(AK451&lt;&gt;"",AK451/43560,""),"—")</f>
        <v/>
      </c>
      <c r="AN451" s="14">
        <f>IFERROR(IF(AL451="","",IF(AL451&lt;2,"Residential (&lt;2ac)",IF(AL451&lt;10,"Small Rural (2-10ac)",IF(AL451&lt;40,"Rural (10-40ac)",IF(AL451&lt;100,"Farm/Estate (40-100ac)","Large Farm (100+ac)"))))),"—")</f>
        <v/>
      </c>
      <c r="AZ451" s="21" t="n"/>
      <c r="BF451" s="21" t="n"/>
      <c r="BG451" s="21" t="n"/>
      <c r="BH451" s="22">
        <f>IFERROR(IF(AND(BF451&lt;&gt;"",BG451&lt;&gt;""),AVERAGE(BF451,BG451),""),"—")</f>
        <v/>
      </c>
      <c r="BK451" s="21" t="n"/>
      <c r="BM451" s="21" t="n"/>
      <c r="BN451" s="28">
        <f>IFERROR(IF(AND(BK451&lt;&gt;"",BM451&lt;&gt;""),IF(BM451&lt;BK451,1,0),""),"")</f>
        <v/>
      </c>
      <c r="BP451" s="21" t="n"/>
      <c r="BS451" s="29">
        <f>IFERROR(IF(AND(BH451&lt;&gt;"",BK451&lt;&gt;""),(BH451-BK451)/BK451,""),"—")</f>
        <v/>
      </c>
      <c r="BT451" s="29">
        <f>IFERROR(IF(AND(BH451&lt;&gt;"",BP451&lt;&gt;""),(BH451-BP451)/BP451,""),"—")</f>
        <v/>
      </c>
      <c r="BU451" s="29">
        <f>IFERROR(IF(AND(BK451&lt;&gt;"",BP451&lt;&gt;""),(BP451-BK451)/BK451,""),"—")</f>
        <v/>
      </c>
    </row>
    <row r="452">
      <c r="AK452" s="14">
        <f>IFERROR(IF(AND(AG452&lt;&gt;"",AH452&lt;&gt;""),AG452*AH452,IF(AI452&lt;&gt;"",AI452,IF(AJ452&lt;&gt;"",AJ452*43560,""))),"ERROR")</f>
        <v/>
      </c>
      <c r="AL452" s="15">
        <f>IFERROR(IF(AK452&lt;&gt;"",AK452/43560,""),"—")</f>
        <v/>
      </c>
      <c r="AN452" s="14">
        <f>IFERROR(IF(AL452="","",IF(AL452&lt;2,"Residential (&lt;2ac)",IF(AL452&lt;10,"Small Rural (2-10ac)",IF(AL452&lt;40,"Rural (10-40ac)",IF(AL452&lt;100,"Farm/Estate (40-100ac)","Large Farm (100+ac)"))))),"—")</f>
        <v/>
      </c>
      <c r="AZ452" s="21" t="n"/>
      <c r="BF452" s="21" t="n"/>
      <c r="BG452" s="21" t="n"/>
      <c r="BH452" s="22">
        <f>IFERROR(IF(AND(BF452&lt;&gt;"",BG452&lt;&gt;""),AVERAGE(BF452,BG452),""),"—")</f>
        <v/>
      </c>
      <c r="BK452" s="21" t="n"/>
      <c r="BM452" s="21" t="n"/>
      <c r="BN452" s="28">
        <f>IFERROR(IF(AND(BK452&lt;&gt;"",BM452&lt;&gt;""),IF(BM452&lt;BK452,1,0),""),"")</f>
        <v/>
      </c>
      <c r="BP452" s="21" t="n"/>
      <c r="BS452" s="29">
        <f>IFERROR(IF(AND(BH452&lt;&gt;"",BK452&lt;&gt;""),(BH452-BK452)/BK452,""),"—")</f>
        <v/>
      </c>
      <c r="BT452" s="29">
        <f>IFERROR(IF(AND(BH452&lt;&gt;"",BP452&lt;&gt;""),(BH452-BP452)/BP452,""),"—")</f>
        <v/>
      </c>
      <c r="BU452" s="29">
        <f>IFERROR(IF(AND(BK452&lt;&gt;"",BP452&lt;&gt;""),(BP452-BK452)/BK452,""),"—")</f>
        <v/>
      </c>
    </row>
    <row r="453">
      <c r="AK453" s="14">
        <f>IFERROR(IF(AND(AG453&lt;&gt;"",AH453&lt;&gt;""),AG453*AH453,IF(AI453&lt;&gt;"",AI453,IF(AJ453&lt;&gt;"",AJ453*43560,""))),"ERROR")</f>
        <v/>
      </c>
      <c r="AL453" s="15">
        <f>IFERROR(IF(AK453&lt;&gt;"",AK453/43560,""),"—")</f>
        <v/>
      </c>
      <c r="AN453" s="14">
        <f>IFERROR(IF(AL453="","",IF(AL453&lt;2,"Residential (&lt;2ac)",IF(AL453&lt;10,"Small Rural (2-10ac)",IF(AL453&lt;40,"Rural (10-40ac)",IF(AL453&lt;100,"Farm/Estate (40-100ac)","Large Farm (100+ac)"))))),"—")</f>
        <v/>
      </c>
      <c r="AZ453" s="21" t="n"/>
      <c r="BF453" s="21" t="n"/>
      <c r="BG453" s="21" t="n"/>
      <c r="BH453" s="22">
        <f>IFERROR(IF(AND(BF453&lt;&gt;"",BG453&lt;&gt;""),AVERAGE(BF453,BG453),""),"—")</f>
        <v/>
      </c>
      <c r="BK453" s="21" t="n"/>
      <c r="BM453" s="21" t="n"/>
      <c r="BN453" s="28">
        <f>IFERROR(IF(AND(BK453&lt;&gt;"",BM453&lt;&gt;""),IF(BM453&lt;BK453,1,0),""),"")</f>
        <v/>
      </c>
      <c r="BP453" s="21" t="n"/>
      <c r="BS453" s="29">
        <f>IFERROR(IF(AND(BH453&lt;&gt;"",BK453&lt;&gt;""),(BH453-BK453)/BK453,""),"—")</f>
        <v/>
      </c>
      <c r="BT453" s="29">
        <f>IFERROR(IF(AND(BH453&lt;&gt;"",BP453&lt;&gt;""),(BH453-BP453)/BP453,""),"—")</f>
        <v/>
      </c>
      <c r="BU453" s="29">
        <f>IFERROR(IF(AND(BK453&lt;&gt;"",BP453&lt;&gt;""),(BP453-BK453)/BK453,""),"—")</f>
        <v/>
      </c>
    </row>
    <row r="454">
      <c r="AK454" s="14">
        <f>IFERROR(IF(AND(AG454&lt;&gt;"",AH454&lt;&gt;""),AG454*AH454,IF(AI454&lt;&gt;"",AI454,IF(AJ454&lt;&gt;"",AJ454*43560,""))),"ERROR")</f>
        <v/>
      </c>
      <c r="AL454" s="15">
        <f>IFERROR(IF(AK454&lt;&gt;"",AK454/43560,""),"—")</f>
        <v/>
      </c>
      <c r="AN454" s="14">
        <f>IFERROR(IF(AL454="","",IF(AL454&lt;2,"Residential (&lt;2ac)",IF(AL454&lt;10,"Small Rural (2-10ac)",IF(AL454&lt;40,"Rural (10-40ac)",IF(AL454&lt;100,"Farm/Estate (40-100ac)","Large Farm (100+ac)"))))),"—")</f>
        <v/>
      </c>
      <c r="AZ454" s="21" t="n"/>
      <c r="BF454" s="21" t="n"/>
      <c r="BG454" s="21" t="n"/>
      <c r="BH454" s="22">
        <f>IFERROR(IF(AND(BF454&lt;&gt;"",BG454&lt;&gt;""),AVERAGE(BF454,BG454),""),"—")</f>
        <v/>
      </c>
      <c r="BK454" s="21" t="n"/>
      <c r="BM454" s="21" t="n"/>
      <c r="BN454" s="28">
        <f>IFERROR(IF(AND(BK454&lt;&gt;"",BM454&lt;&gt;""),IF(BM454&lt;BK454,1,0),""),"")</f>
        <v/>
      </c>
      <c r="BP454" s="21" t="n"/>
      <c r="BS454" s="29">
        <f>IFERROR(IF(AND(BH454&lt;&gt;"",BK454&lt;&gt;""),(BH454-BK454)/BK454,""),"—")</f>
        <v/>
      </c>
      <c r="BT454" s="29">
        <f>IFERROR(IF(AND(BH454&lt;&gt;"",BP454&lt;&gt;""),(BH454-BP454)/BP454,""),"—")</f>
        <v/>
      </c>
      <c r="BU454" s="29">
        <f>IFERROR(IF(AND(BK454&lt;&gt;"",BP454&lt;&gt;""),(BP454-BK454)/BK454,""),"—")</f>
        <v/>
      </c>
    </row>
    <row r="455">
      <c r="AK455" s="14">
        <f>IFERROR(IF(AND(AG455&lt;&gt;"",AH455&lt;&gt;""),AG455*AH455,IF(AI455&lt;&gt;"",AI455,IF(AJ455&lt;&gt;"",AJ455*43560,""))),"ERROR")</f>
        <v/>
      </c>
      <c r="AL455" s="15">
        <f>IFERROR(IF(AK455&lt;&gt;"",AK455/43560,""),"—")</f>
        <v/>
      </c>
      <c r="AN455" s="14">
        <f>IFERROR(IF(AL455="","",IF(AL455&lt;2,"Residential (&lt;2ac)",IF(AL455&lt;10,"Small Rural (2-10ac)",IF(AL455&lt;40,"Rural (10-40ac)",IF(AL455&lt;100,"Farm/Estate (40-100ac)","Large Farm (100+ac)"))))),"—")</f>
        <v/>
      </c>
      <c r="AZ455" s="21" t="n"/>
      <c r="BF455" s="21" t="n"/>
      <c r="BG455" s="21" t="n"/>
      <c r="BH455" s="22">
        <f>IFERROR(IF(AND(BF455&lt;&gt;"",BG455&lt;&gt;""),AVERAGE(BF455,BG455),""),"—")</f>
        <v/>
      </c>
      <c r="BK455" s="21" t="n"/>
      <c r="BM455" s="21" t="n"/>
      <c r="BN455" s="28">
        <f>IFERROR(IF(AND(BK455&lt;&gt;"",BM455&lt;&gt;""),IF(BM455&lt;BK455,1,0),""),"")</f>
        <v/>
      </c>
      <c r="BP455" s="21" t="n"/>
      <c r="BS455" s="29">
        <f>IFERROR(IF(AND(BH455&lt;&gt;"",BK455&lt;&gt;""),(BH455-BK455)/BK455,""),"—")</f>
        <v/>
      </c>
      <c r="BT455" s="29">
        <f>IFERROR(IF(AND(BH455&lt;&gt;"",BP455&lt;&gt;""),(BH455-BP455)/BP455,""),"—")</f>
        <v/>
      </c>
      <c r="BU455" s="29">
        <f>IFERROR(IF(AND(BK455&lt;&gt;"",BP455&lt;&gt;""),(BP455-BK455)/BK455,""),"—")</f>
        <v/>
      </c>
    </row>
    <row r="456">
      <c r="AK456" s="14">
        <f>IFERROR(IF(AND(AG456&lt;&gt;"",AH456&lt;&gt;""),AG456*AH456,IF(AI456&lt;&gt;"",AI456,IF(AJ456&lt;&gt;"",AJ456*43560,""))),"ERROR")</f>
        <v/>
      </c>
      <c r="AL456" s="15">
        <f>IFERROR(IF(AK456&lt;&gt;"",AK456/43560,""),"—")</f>
        <v/>
      </c>
      <c r="AN456" s="14">
        <f>IFERROR(IF(AL456="","",IF(AL456&lt;2,"Residential (&lt;2ac)",IF(AL456&lt;10,"Small Rural (2-10ac)",IF(AL456&lt;40,"Rural (10-40ac)",IF(AL456&lt;100,"Farm/Estate (40-100ac)","Large Farm (100+ac)"))))),"—")</f>
        <v/>
      </c>
      <c r="AZ456" s="21" t="n"/>
      <c r="BF456" s="21" t="n"/>
      <c r="BG456" s="21" t="n"/>
      <c r="BH456" s="22">
        <f>IFERROR(IF(AND(BF456&lt;&gt;"",BG456&lt;&gt;""),AVERAGE(BF456,BG456),""),"—")</f>
        <v/>
      </c>
      <c r="BK456" s="21" t="n"/>
      <c r="BM456" s="21" t="n"/>
      <c r="BN456" s="28">
        <f>IFERROR(IF(AND(BK456&lt;&gt;"",BM456&lt;&gt;""),IF(BM456&lt;BK456,1,0),""),"")</f>
        <v/>
      </c>
      <c r="BP456" s="21" t="n"/>
      <c r="BS456" s="29">
        <f>IFERROR(IF(AND(BH456&lt;&gt;"",BK456&lt;&gt;""),(BH456-BK456)/BK456,""),"—")</f>
        <v/>
      </c>
      <c r="BT456" s="29">
        <f>IFERROR(IF(AND(BH456&lt;&gt;"",BP456&lt;&gt;""),(BH456-BP456)/BP456,""),"—")</f>
        <v/>
      </c>
      <c r="BU456" s="29">
        <f>IFERROR(IF(AND(BK456&lt;&gt;"",BP456&lt;&gt;""),(BP456-BK456)/BK456,""),"—")</f>
        <v/>
      </c>
    </row>
    <row r="457">
      <c r="AK457" s="14">
        <f>IFERROR(IF(AND(AG457&lt;&gt;"",AH457&lt;&gt;""),AG457*AH457,IF(AI457&lt;&gt;"",AI457,IF(AJ457&lt;&gt;"",AJ457*43560,""))),"ERROR")</f>
        <v/>
      </c>
      <c r="AL457" s="15">
        <f>IFERROR(IF(AK457&lt;&gt;"",AK457/43560,""),"—")</f>
        <v/>
      </c>
      <c r="AN457" s="14">
        <f>IFERROR(IF(AL457="","",IF(AL457&lt;2,"Residential (&lt;2ac)",IF(AL457&lt;10,"Small Rural (2-10ac)",IF(AL457&lt;40,"Rural (10-40ac)",IF(AL457&lt;100,"Farm/Estate (40-100ac)","Large Farm (100+ac)"))))),"—")</f>
        <v/>
      </c>
      <c r="AZ457" s="21" t="n"/>
      <c r="BF457" s="21" t="n"/>
      <c r="BG457" s="21" t="n"/>
      <c r="BH457" s="22">
        <f>IFERROR(IF(AND(BF457&lt;&gt;"",BG457&lt;&gt;""),AVERAGE(BF457,BG457),""),"—")</f>
        <v/>
      </c>
      <c r="BK457" s="21" t="n"/>
      <c r="BM457" s="21" t="n"/>
      <c r="BN457" s="28">
        <f>IFERROR(IF(AND(BK457&lt;&gt;"",BM457&lt;&gt;""),IF(BM457&lt;BK457,1,0),""),"")</f>
        <v/>
      </c>
      <c r="BP457" s="21" t="n"/>
      <c r="BS457" s="29">
        <f>IFERROR(IF(AND(BH457&lt;&gt;"",BK457&lt;&gt;""),(BH457-BK457)/BK457,""),"—")</f>
        <v/>
      </c>
      <c r="BT457" s="29">
        <f>IFERROR(IF(AND(BH457&lt;&gt;"",BP457&lt;&gt;""),(BH457-BP457)/BP457,""),"—")</f>
        <v/>
      </c>
      <c r="BU457" s="29">
        <f>IFERROR(IF(AND(BK457&lt;&gt;"",BP457&lt;&gt;""),(BP457-BK457)/BK457,""),"—")</f>
        <v/>
      </c>
    </row>
    <row r="458">
      <c r="AK458" s="14">
        <f>IFERROR(IF(AND(AG458&lt;&gt;"",AH458&lt;&gt;""),AG458*AH458,IF(AI458&lt;&gt;"",AI458,IF(AJ458&lt;&gt;"",AJ458*43560,""))),"ERROR")</f>
        <v/>
      </c>
      <c r="AL458" s="15">
        <f>IFERROR(IF(AK458&lt;&gt;"",AK458/43560,""),"—")</f>
        <v/>
      </c>
      <c r="AN458" s="14">
        <f>IFERROR(IF(AL458="","",IF(AL458&lt;2,"Residential (&lt;2ac)",IF(AL458&lt;10,"Small Rural (2-10ac)",IF(AL458&lt;40,"Rural (10-40ac)",IF(AL458&lt;100,"Farm/Estate (40-100ac)","Large Farm (100+ac)"))))),"—")</f>
        <v/>
      </c>
      <c r="AZ458" s="21" t="n"/>
      <c r="BF458" s="21" t="n"/>
      <c r="BG458" s="21" t="n"/>
      <c r="BH458" s="22">
        <f>IFERROR(IF(AND(BF458&lt;&gt;"",BG458&lt;&gt;""),AVERAGE(BF458,BG458),""),"—")</f>
        <v/>
      </c>
      <c r="BK458" s="21" t="n"/>
      <c r="BM458" s="21" t="n"/>
      <c r="BN458" s="28">
        <f>IFERROR(IF(AND(BK458&lt;&gt;"",BM458&lt;&gt;""),IF(BM458&lt;BK458,1,0),""),"")</f>
        <v/>
      </c>
      <c r="BP458" s="21" t="n"/>
      <c r="BS458" s="29">
        <f>IFERROR(IF(AND(BH458&lt;&gt;"",BK458&lt;&gt;""),(BH458-BK458)/BK458,""),"—")</f>
        <v/>
      </c>
      <c r="BT458" s="29">
        <f>IFERROR(IF(AND(BH458&lt;&gt;"",BP458&lt;&gt;""),(BH458-BP458)/BP458,""),"—")</f>
        <v/>
      </c>
      <c r="BU458" s="29">
        <f>IFERROR(IF(AND(BK458&lt;&gt;"",BP458&lt;&gt;""),(BP458-BK458)/BK458,""),"—")</f>
        <v/>
      </c>
    </row>
    <row r="459">
      <c r="AK459" s="14">
        <f>IFERROR(IF(AND(AG459&lt;&gt;"",AH459&lt;&gt;""),AG459*AH459,IF(AI459&lt;&gt;"",AI459,IF(AJ459&lt;&gt;"",AJ459*43560,""))),"ERROR")</f>
        <v/>
      </c>
      <c r="AL459" s="15">
        <f>IFERROR(IF(AK459&lt;&gt;"",AK459/43560,""),"—")</f>
        <v/>
      </c>
      <c r="AN459" s="14">
        <f>IFERROR(IF(AL459="","",IF(AL459&lt;2,"Residential (&lt;2ac)",IF(AL459&lt;10,"Small Rural (2-10ac)",IF(AL459&lt;40,"Rural (10-40ac)",IF(AL459&lt;100,"Farm/Estate (40-100ac)","Large Farm (100+ac)"))))),"—")</f>
        <v/>
      </c>
      <c r="AZ459" s="21" t="n"/>
      <c r="BF459" s="21" t="n"/>
      <c r="BG459" s="21" t="n"/>
      <c r="BH459" s="22">
        <f>IFERROR(IF(AND(BF459&lt;&gt;"",BG459&lt;&gt;""),AVERAGE(BF459,BG459),""),"—")</f>
        <v/>
      </c>
      <c r="BK459" s="21" t="n"/>
      <c r="BM459" s="21" t="n"/>
      <c r="BN459" s="28">
        <f>IFERROR(IF(AND(BK459&lt;&gt;"",BM459&lt;&gt;""),IF(BM459&lt;BK459,1,0),""),"")</f>
        <v/>
      </c>
      <c r="BP459" s="21" t="n"/>
      <c r="BS459" s="29">
        <f>IFERROR(IF(AND(BH459&lt;&gt;"",BK459&lt;&gt;""),(BH459-BK459)/BK459,""),"—")</f>
        <v/>
      </c>
      <c r="BT459" s="29">
        <f>IFERROR(IF(AND(BH459&lt;&gt;"",BP459&lt;&gt;""),(BH459-BP459)/BP459,""),"—")</f>
        <v/>
      </c>
      <c r="BU459" s="29">
        <f>IFERROR(IF(AND(BK459&lt;&gt;"",BP459&lt;&gt;""),(BP459-BK459)/BK459,""),"—")</f>
        <v/>
      </c>
    </row>
    <row r="460">
      <c r="AK460" s="14">
        <f>IFERROR(IF(AND(AG460&lt;&gt;"",AH460&lt;&gt;""),AG460*AH460,IF(AI460&lt;&gt;"",AI460,IF(AJ460&lt;&gt;"",AJ460*43560,""))),"ERROR")</f>
        <v/>
      </c>
      <c r="AL460" s="15">
        <f>IFERROR(IF(AK460&lt;&gt;"",AK460/43560,""),"—")</f>
        <v/>
      </c>
      <c r="AN460" s="14">
        <f>IFERROR(IF(AL460="","",IF(AL460&lt;2,"Residential (&lt;2ac)",IF(AL460&lt;10,"Small Rural (2-10ac)",IF(AL460&lt;40,"Rural (10-40ac)",IF(AL460&lt;100,"Farm/Estate (40-100ac)","Large Farm (100+ac)"))))),"—")</f>
        <v/>
      </c>
      <c r="AZ460" s="21" t="n"/>
      <c r="BF460" s="21" t="n"/>
      <c r="BG460" s="21" t="n"/>
      <c r="BH460" s="22">
        <f>IFERROR(IF(AND(BF460&lt;&gt;"",BG460&lt;&gt;""),AVERAGE(BF460,BG460),""),"—")</f>
        <v/>
      </c>
      <c r="BK460" s="21" t="n"/>
      <c r="BM460" s="21" t="n"/>
      <c r="BN460" s="28">
        <f>IFERROR(IF(AND(BK460&lt;&gt;"",BM460&lt;&gt;""),IF(BM460&lt;BK460,1,0),""),"")</f>
        <v/>
      </c>
      <c r="BP460" s="21" t="n"/>
      <c r="BS460" s="29">
        <f>IFERROR(IF(AND(BH460&lt;&gt;"",BK460&lt;&gt;""),(BH460-BK460)/BK460,""),"—")</f>
        <v/>
      </c>
      <c r="BT460" s="29">
        <f>IFERROR(IF(AND(BH460&lt;&gt;"",BP460&lt;&gt;""),(BH460-BP460)/BP460,""),"—")</f>
        <v/>
      </c>
      <c r="BU460" s="29">
        <f>IFERROR(IF(AND(BK460&lt;&gt;"",BP460&lt;&gt;""),(BP460-BK460)/BK460,""),"—")</f>
        <v/>
      </c>
    </row>
    <row r="461">
      <c r="AK461" s="14">
        <f>IFERROR(IF(AND(AG461&lt;&gt;"",AH461&lt;&gt;""),AG461*AH461,IF(AI461&lt;&gt;"",AI461,IF(AJ461&lt;&gt;"",AJ461*43560,""))),"ERROR")</f>
        <v/>
      </c>
      <c r="AL461" s="15">
        <f>IFERROR(IF(AK461&lt;&gt;"",AK461/43560,""),"—")</f>
        <v/>
      </c>
      <c r="AN461" s="14">
        <f>IFERROR(IF(AL461="","",IF(AL461&lt;2,"Residential (&lt;2ac)",IF(AL461&lt;10,"Small Rural (2-10ac)",IF(AL461&lt;40,"Rural (10-40ac)",IF(AL461&lt;100,"Farm/Estate (40-100ac)","Large Farm (100+ac)"))))),"—")</f>
        <v/>
      </c>
      <c r="AZ461" s="21" t="n"/>
      <c r="BF461" s="21" t="n"/>
      <c r="BG461" s="21" t="n"/>
      <c r="BH461" s="22">
        <f>IFERROR(IF(AND(BF461&lt;&gt;"",BG461&lt;&gt;""),AVERAGE(BF461,BG461),""),"—")</f>
        <v/>
      </c>
      <c r="BK461" s="21" t="n"/>
      <c r="BM461" s="21" t="n"/>
      <c r="BN461" s="28">
        <f>IFERROR(IF(AND(BK461&lt;&gt;"",BM461&lt;&gt;""),IF(BM461&lt;BK461,1,0),""),"")</f>
        <v/>
      </c>
      <c r="BP461" s="21" t="n"/>
      <c r="BS461" s="29">
        <f>IFERROR(IF(AND(BH461&lt;&gt;"",BK461&lt;&gt;""),(BH461-BK461)/BK461,""),"—")</f>
        <v/>
      </c>
      <c r="BT461" s="29">
        <f>IFERROR(IF(AND(BH461&lt;&gt;"",BP461&lt;&gt;""),(BH461-BP461)/BP461,""),"—")</f>
        <v/>
      </c>
      <c r="BU461" s="29">
        <f>IFERROR(IF(AND(BK461&lt;&gt;"",BP461&lt;&gt;""),(BP461-BK461)/BK461,""),"—")</f>
        <v/>
      </c>
    </row>
    <row r="462">
      <c r="AK462" s="14">
        <f>IFERROR(IF(AND(AG462&lt;&gt;"",AH462&lt;&gt;""),AG462*AH462,IF(AI462&lt;&gt;"",AI462,IF(AJ462&lt;&gt;"",AJ462*43560,""))),"ERROR")</f>
        <v/>
      </c>
      <c r="AL462" s="15">
        <f>IFERROR(IF(AK462&lt;&gt;"",AK462/43560,""),"—")</f>
        <v/>
      </c>
      <c r="AN462" s="14">
        <f>IFERROR(IF(AL462="","",IF(AL462&lt;2,"Residential (&lt;2ac)",IF(AL462&lt;10,"Small Rural (2-10ac)",IF(AL462&lt;40,"Rural (10-40ac)",IF(AL462&lt;100,"Farm/Estate (40-100ac)","Large Farm (100+ac)"))))),"—")</f>
        <v/>
      </c>
      <c r="AZ462" s="21" t="n"/>
      <c r="BF462" s="21" t="n"/>
      <c r="BG462" s="21" t="n"/>
      <c r="BH462" s="22">
        <f>IFERROR(IF(AND(BF462&lt;&gt;"",BG462&lt;&gt;""),AVERAGE(BF462,BG462),""),"—")</f>
        <v/>
      </c>
      <c r="BK462" s="21" t="n"/>
      <c r="BM462" s="21" t="n"/>
      <c r="BN462" s="28">
        <f>IFERROR(IF(AND(BK462&lt;&gt;"",BM462&lt;&gt;""),IF(BM462&lt;BK462,1,0),""),"")</f>
        <v/>
      </c>
      <c r="BP462" s="21" t="n"/>
      <c r="BS462" s="29">
        <f>IFERROR(IF(AND(BH462&lt;&gt;"",BK462&lt;&gt;""),(BH462-BK462)/BK462,""),"—")</f>
        <v/>
      </c>
      <c r="BT462" s="29">
        <f>IFERROR(IF(AND(BH462&lt;&gt;"",BP462&lt;&gt;""),(BH462-BP462)/BP462,""),"—")</f>
        <v/>
      </c>
      <c r="BU462" s="29">
        <f>IFERROR(IF(AND(BK462&lt;&gt;"",BP462&lt;&gt;""),(BP462-BK462)/BK462,""),"—")</f>
        <v/>
      </c>
    </row>
    <row r="463">
      <c r="AK463" s="14">
        <f>IFERROR(IF(AND(AG463&lt;&gt;"",AH463&lt;&gt;""),AG463*AH463,IF(AI463&lt;&gt;"",AI463,IF(AJ463&lt;&gt;"",AJ463*43560,""))),"ERROR")</f>
        <v/>
      </c>
      <c r="AL463" s="15">
        <f>IFERROR(IF(AK463&lt;&gt;"",AK463/43560,""),"—")</f>
        <v/>
      </c>
      <c r="AN463" s="14">
        <f>IFERROR(IF(AL463="","",IF(AL463&lt;2,"Residential (&lt;2ac)",IF(AL463&lt;10,"Small Rural (2-10ac)",IF(AL463&lt;40,"Rural (10-40ac)",IF(AL463&lt;100,"Farm/Estate (40-100ac)","Large Farm (100+ac)"))))),"—")</f>
        <v/>
      </c>
      <c r="AZ463" s="21" t="n"/>
      <c r="BF463" s="21" t="n"/>
      <c r="BG463" s="21" t="n"/>
      <c r="BH463" s="22">
        <f>IFERROR(IF(AND(BF463&lt;&gt;"",BG463&lt;&gt;""),AVERAGE(BF463,BG463),""),"—")</f>
        <v/>
      </c>
      <c r="BK463" s="21" t="n"/>
      <c r="BM463" s="21" t="n"/>
      <c r="BN463" s="28">
        <f>IFERROR(IF(AND(BK463&lt;&gt;"",BM463&lt;&gt;""),IF(BM463&lt;BK463,1,0),""),"")</f>
        <v/>
      </c>
      <c r="BP463" s="21" t="n"/>
      <c r="BS463" s="29">
        <f>IFERROR(IF(AND(BH463&lt;&gt;"",BK463&lt;&gt;""),(BH463-BK463)/BK463,""),"—")</f>
        <v/>
      </c>
      <c r="BT463" s="29">
        <f>IFERROR(IF(AND(BH463&lt;&gt;"",BP463&lt;&gt;""),(BH463-BP463)/BP463,""),"—")</f>
        <v/>
      </c>
      <c r="BU463" s="29">
        <f>IFERROR(IF(AND(BK463&lt;&gt;"",BP463&lt;&gt;""),(BP463-BK463)/BK463,""),"—")</f>
        <v/>
      </c>
    </row>
    <row r="464">
      <c r="AK464" s="14">
        <f>IFERROR(IF(AND(AG464&lt;&gt;"",AH464&lt;&gt;""),AG464*AH464,IF(AI464&lt;&gt;"",AI464,IF(AJ464&lt;&gt;"",AJ464*43560,""))),"ERROR")</f>
        <v/>
      </c>
      <c r="AL464" s="15">
        <f>IFERROR(IF(AK464&lt;&gt;"",AK464/43560,""),"—")</f>
        <v/>
      </c>
      <c r="AN464" s="14">
        <f>IFERROR(IF(AL464="","",IF(AL464&lt;2,"Residential (&lt;2ac)",IF(AL464&lt;10,"Small Rural (2-10ac)",IF(AL464&lt;40,"Rural (10-40ac)",IF(AL464&lt;100,"Farm/Estate (40-100ac)","Large Farm (100+ac)"))))),"—")</f>
        <v/>
      </c>
      <c r="AZ464" s="21" t="n"/>
      <c r="BF464" s="21" t="n"/>
      <c r="BG464" s="21" t="n"/>
      <c r="BH464" s="22">
        <f>IFERROR(IF(AND(BF464&lt;&gt;"",BG464&lt;&gt;""),AVERAGE(BF464,BG464),""),"—")</f>
        <v/>
      </c>
      <c r="BK464" s="21" t="n"/>
      <c r="BM464" s="21" t="n"/>
      <c r="BN464" s="28">
        <f>IFERROR(IF(AND(BK464&lt;&gt;"",BM464&lt;&gt;""),IF(BM464&lt;BK464,1,0),""),"")</f>
        <v/>
      </c>
      <c r="BP464" s="21" t="n"/>
      <c r="BS464" s="29">
        <f>IFERROR(IF(AND(BH464&lt;&gt;"",BK464&lt;&gt;""),(BH464-BK464)/BK464,""),"—")</f>
        <v/>
      </c>
      <c r="BT464" s="29">
        <f>IFERROR(IF(AND(BH464&lt;&gt;"",BP464&lt;&gt;""),(BH464-BP464)/BP464,""),"—")</f>
        <v/>
      </c>
      <c r="BU464" s="29">
        <f>IFERROR(IF(AND(BK464&lt;&gt;"",BP464&lt;&gt;""),(BP464-BK464)/BK464,""),"—")</f>
        <v/>
      </c>
    </row>
    <row r="465">
      <c r="AK465" s="14">
        <f>IFERROR(IF(AND(AG465&lt;&gt;"",AH465&lt;&gt;""),AG465*AH465,IF(AI465&lt;&gt;"",AI465,IF(AJ465&lt;&gt;"",AJ465*43560,""))),"ERROR")</f>
        <v/>
      </c>
      <c r="AL465" s="15">
        <f>IFERROR(IF(AK465&lt;&gt;"",AK465/43560,""),"—")</f>
        <v/>
      </c>
      <c r="AN465" s="14">
        <f>IFERROR(IF(AL465="","",IF(AL465&lt;2,"Residential (&lt;2ac)",IF(AL465&lt;10,"Small Rural (2-10ac)",IF(AL465&lt;40,"Rural (10-40ac)",IF(AL465&lt;100,"Farm/Estate (40-100ac)","Large Farm (100+ac)"))))),"—")</f>
        <v/>
      </c>
      <c r="AZ465" s="21" t="n"/>
      <c r="BF465" s="21" t="n"/>
      <c r="BG465" s="21" t="n"/>
      <c r="BH465" s="22">
        <f>IFERROR(IF(AND(BF465&lt;&gt;"",BG465&lt;&gt;""),AVERAGE(BF465,BG465),""),"—")</f>
        <v/>
      </c>
      <c r="BK465" s="21" t="n"/>
      <c r="BM465" s="21" t="n"/>
      <c r="BN465" s="28">
        <f>IFERROR(IF(AND(BK465&lt;&gt;"",BM465&lt;&gt;""),IF(BM465&lt;BK465,1,0),""),"")</f>
        <v/>
      </c>
      <c r="BP465" s="21" t="n"/>
      <c r="BS465" s="29">
        <f>IFERROR(IF(AND(BH465&lt;&gt;"",BK465&lt;&gt;""),(BH465-BK465)/BK465,""),"—")</f>
        <v/>
      </c>
      <c r="BT465" s="29">
        <f>IFERROR(IF(AND(BH465&lt;&gt;"",BP465&lt;&gt;""),(BH465-BP465)/BP465,""),"—")</f>
        <v/>
      </c>
      <c r="BU465" s="29">
        <f>IFERROR(IF(AND(BK465&lt;&gt;"",BP465&lt;&gt;""),(BP465-BK465)/BK465,""),"—")</f>
        <v/>
      </c>
    </row>
    <row r="466">
      <c r="AK466" s="14">
        <f>IFERROR(IF(AND(AG466&lt;&gt;"",AH466&lt;&gt;""),AG466*AH466,IF(AI466&lt;&gt;"",AI466,IF(AJ466&lt;&gt;"",AJ466*43560,""))),"ERROR")</f>
        <v/>
      </c>
      <c r="AL466" s="15">
        <f>IFERROR(IF(AK466&lt;&gt;"",AK466/43560,""),"—")</f>
        <v/>
      </c>
      <c r="AN466" s="14">
        <f>IFERROR(IF(AL466="","",IF(AL466&lt;2,"Residential (&lt;2ac)",IF(AL466&lt;10,"Small Rural (2-10ac)",IF(AL466&lt;40,"Rural (10-40ac)",IF(AL466&lt;100,"Farm/Estate (40-100ac)","Large Farm (100+ac)"))))),"—")</f>
        <v/>
      </c>
      <c r="AZ466" s="21" t="n"/>
      <c r="BF466" s="21" t="n"/>
      <c r="BG466" s="21" t="n"/>
      <c r="BH466" s="22">
        <f>IFERROR(IF(AND(BF466&lt;&gt;"",BG466&lt;&gt;""),AVERAGE(BF466,BG466),""),"—")</f>
        <v/>
      </c>
      <c r="BK466" s="21" t="n"/>
      <c r="BM466" s="21" t="n"/>
      <c r="BN466" s="28">
        <f>IFERROR(IF(AND(BK466&lt;&gt;"",BM466&lt;&gt;""),IF(BM466&lt;BK466,1,0),""),"")</f>
        <v/>
      </c>
      <c r="BP466" s="21" t="n"/>
      <c r="BS466" s="29">
        <f>IFERROR(IF(AND(BH466&lt;&gt;"",BK466&lt;&gt;""),(BH466-BK466)/BK466,""),"—")</f>
        <v/>
      </c>
      <c r="BT466" s="29">
        <f>IFERROR(IF(AND(BH466&lt;&gt;"",BP466&lt;&gt;""),(BH466-BP466)/BP466,""),"—")</f>
        <v/>
      </c>
      <c r="BU466" s="29">
        <f>IFERROR(IF(AND(BK466&lt;&gt;"",BP466&lt;&gt;""),(BP466-BK466)/BK466,""),"—")</f>
        <v/>
      </c>
    </row>
    <row r="467">
      <c r="AK467" s="14">
        <f>IFERROR(IF(AND(AG467&lt;&gt;"",AH467&lt;&gt;""),AG467*AH467,IF(AI467&lt;&gt;"",AI467,IF(AJ467&lt;&gt;"",AJ467*43560,""))),"ERROR")</f>
        <v/>
      </c>
      <c r="AL467" s="15">
        <f>IFERROR(IF(AK467&lt;&gt;"",AK467/43560,""),"—")</f>
        <v/>
      </c>
      <c r="AN467" s="14">
        <f>IFERROR(IF(AL467="","",IF(AL467&lt;2,"Residential (&lt;2ac)",IF(AL467&lt;10,"Small Rural (2-10ac)",IF(AL467&lt;40,"Rural (10-40ac)",IF(AL467&lt;100,"Farm/Estate (40-100ac)","Large Farm (100+ac)"))))),"—")</f>
        <v/>
      </c>
      <c r="AZ467" s="21" t="n"/>
      <c r="BF467" s="21" t="n"/>
      <c r="BG467" s="21" t="n"/>
      <c r="BH467" s="22">
        <f>IFERROR(IF(AND(BF467&lt;&gt;"",BG467&lt;&gt;""),AVERAGE(BF467,BG467),""),"—")</f>
        <v/>
      </c>
      <c r="BK467" s="21" t="n"/>
      <c r="BM467" s="21" t="n"/>
      <c r="BN467" s="28">
        <f>IFERROR(IF(AND(BK467&lt;&gt;"",BM467&lt;&gt;""),IF(BM467&lt;BK467,1,0),""),"")</f>
        <v/>
      </c>
      <c r="BP467" s="21" t="n"/>
      <c r="BS467" s="29">
        <f>IFERROR(IF(AND(BH467&lt;&gt;"",BK467&lt;&gt;""),(BH467-BK467)/BK467,""),"—")</f>
        <v/>
      </c>
      <c r="BT467" s="29">
        <f>IFERROR(IF(AND(BH467&lt;&gt;"",BP467&lt;&gt;""),(BH467-BP467)/BP467,""),"—")</f>
        <v/>
      </c>
      <c r="BU467" s="29">
        <f>IFERROR(IF(AND(BK467&lt;&gt;"",BP467&lt;&gt;""),(BP467-BK467)/BK467,""),"—")</f>
        <v/>
      </c>
    </row>
    <row r="468">
      <c r="AK468" s="14">
        <f>IFERROR(IF(AND(AG468&lt;&gt;"",AH468&lt;&gt;""),AG468*AH468,IF(AI468&lt;&gt;"",AI468,IF(AJ468&lt;&gt;"",AJ468*43560,""))),"ERROR")</f>
        <v/>
      </c>
      <c r="AL468" s="15">
        <f>IFERROR(IF(AK468&lt;&gt;"",AK468/43560,""),"—")</f>
        <v/>
      </c>
      <c r="AN468" s="14">
        <f>IFERROR(IF(AL468="","",IF(AL468&lt;2,"Residential (&lt;2ac)",IF(AL468&lt;10,"Small Rural (2-10ac)",IF(AL468&lt;40,"Rural (10-40ac)",IF(AL468&lt;100,"Farm/Estate (40-100ac)","Large Farm (100+ac)"))))),"—")</f>
        <v/>
      </c>
      <c r="AZ468" s="21" t="n"/>
      <c r="BF468" s="21" t="n"/>
      <c r="BG468" s="21" t="n"/>
      <c r="BH468" s="22">
        <f>IFERROR(IF(AND(BF468&lt;&gt;"",BG468&lt;&gt;""),AVERAGE(BF468,BG468),""),"—")</f>
        <v/>
      </c>
      <c r="BK468" s="21" t="n"/>
      <c r="BM468" s="21" t="n"/>
      <c r="BN468" s="28">
        <f>IFERROR(IF(AND(BK468&lt;&gt;"",BM468&lt;&gt;""),IF(BM468&lt;BK468,1,0),""),"")</f>
        <v/>
      </c>
      <c r="BP468" s="21" t="n"/>
      <c r="BS468" s="29">
        <f>IFERROR(IF(AND(BH468&lt;&gt;"",BK468&lt;&gt;""),(BH468-BK468)/BK468,""),"—")</f>
        <v/>
      </c>
      <c r="BT468" s="29">
        <f>IFERROR(IF(AND(BH468&lt;&gt;"",BP468&lt;&gt;""),(BH468-BP468)/BP468,""),"—")</f>
        <v/>
      </c>
      <c r="BU468" s="29">
        <f>IFERROR(IF(AND(BK468&lt;&gt;"",BP468&lt;&gt;""),(BP468-BK468)/BK468,""),"—")</f>
        <v/>
      </c>
    </row>
    <row r="469">
      <c r="AK469" s="14">
        <f>IFERROR(IF(AND(AG469&lt;&gt;"",AH469&lt;&gt;""),AG469*AH469,IF(AI469&lt;&gt;"",AI469,IF(AJ469&lt;&gt;"",AJ469*43560,""))),"ERROR")</f>
        <v/>
      </c>
      <c r="AL469" s="15">
        <f>IFERROR(IF(AK469&lt;&gt;"",AK469/43560,""),"—")</f>
        <v/>
      </c>
      <c r="AN469" s="14">
        <f>IFERROR(IF(AL469="","",IF(AL469&lt;2,"Residential (&lt;2ac)",IF(AL469&lt;10,"Small Rural (2-10ac)",IF(AL469&lt;40,"Rural (10-40ac)",IF(AL469&lt;100,"Farm/Estate (40-100ac)","Large Farm (100+ac)"))))),"—")</f>
        <v/>
      </c>
      <c r="AZ469" s="21" t="n"/>
      <c r="BF469" s="21" t="n"/>
      <c r="BG469" s="21" t="n"/>
      <c r="BH469" s="22">
        <f>IFERROR(IF(AND(BF469&lt;&gt;"",BG469&lt;&gt;""),AVERAGE(BF469,BG469),""),"—")</f>
        <v/>
      </c>
      <c r="BK469" s="21" t="n"/>
      <c r="BM469" s="21" t="n"/>
      <c r="BN469" s="28">
        <f>IFERROR(IF(AND(BK469&lt;&gt;"",BM469&lt;&gt;""),IF(BM469&lt;BK469,1,0),""),"")</f>
        <v/>
      </c>
      <c r="BP469" s="21" t="n"/>
      <c r="BS469" s="29">
        <f>IFERROR(IF(AND(BH469&lt;&gt;"",BK469&lt;&gt;""),(BH469-BK469)/BK469,""),"—")</f>
        <v/>
      </c>
      <c r="BT469" s="29">
        <f>IFERROR(IF(AND(BH469&lt;&gt;"",BP469&lt;&gt;""),(BH469-BP469)/BP469,""),"—")</f>
        <v/>
      </c>
      <c r="BU469" s="29">
        <f>IFERROR(IF(AND(BK469&lt;&gt;"",BP469&lt;&gt;""),(BP469-BK469)/BK469,""),"—")</f>
        <v/>
      </c>
    </row>
    <row r="470">
      <c r="AK470" s="14">
        <f>IFERROR(IF(AND(AG470&lt;&gt;"",AH470&lt;&gt;""),AG470*AH470,IF(AI470&lt;&gt;"",AI470,IF(AJ470&lt;&gt;"",AJ470*43560,""))),"ERROR")</f>
        <v/>
      </c>
      <c r="AL470" s="15">
        <f>IFERROR(IF(AK470&lt;&gt;"",AK470/43560,""),"—")</f>
        <v/>
      </c>
      <c r="AN470" s="14">
        <f>IFERROR(IF(AL470="","",IF(AL470&lt;2,"Residential (&lt;2ac)",IF(AL470&lt;10,"Small Rural (2-10ac)",IF(AL470&lt;40,"Rural (10-40ac)",IF(AL470&lt;100,"Farm/Estate (40-100ac)","Large Farm (100+ac)"))))),"—")</f>
        <v/>
      </c>
      <c r="AZ470" s="21" t="n"/>
      <c r="BF470" s="21" t="n"/>
      <c r="BG470" s="21" t="n"/>
      <c r="BH470" s="22">
        <f>IFERROR(IF(AND(BF470&lt;&gt;"",BG470&lt;&gt;""),AVERAGE(BF470,BG470),""),"—")</f>
        <v/>
      </c>
      <c r="BK470" s="21" t="n"/>
      <c r="BM470" s="21" t="n"/>
      <c r="BN470" s="28">
        <f>IFERROR(IF(AND(BK470&lt;&gt;"",BM470&lt;&gt;""),IF(BM470&lt;BK470,1,0),""),"")</f>
        <v/>
      </c>
      <c r="BP470" s="21" t="n"/>
      <c r="BS470" s="29">
        <f>IFERROR(IF(AND(BH470&lt;&gt;"",BK470&lt;&gt;""),(BH470-BK470)/BK470,""),"—")</f>
        <v/>
      </c>
      <c r="BT470" s="29">
        <f>IFERROR(IF(AND(BH470&lt;&gt;"",BP470&lt;&gt;""),(BH470-BP470)/BP470,""),"—")</f>
        <v/>
      </c>
      <c r="BU470" s="29">
        <f>IFERROR(IF(AND(BK470&lt;&gt;"",BP470&lt;&gt;""),(BP470-BK470)/BK470,""),"—")</f>
        <v/>
      </c>
    </row>
    <row r="471">
      <c r="AK471" s="14">
        <f>IFERROR(IF(AND(AG471&lt;&gt;"",AH471&lt;&gt;""),AG471*AH471,IF(AI471&lt;&gt;"",AI471,IF(AJ471&lt;&gt;"",AJ471*43560,""))),"ERROR")</f>
        <v/>
      </c>
      <c r="AL471" s="15">
        <f>IFERROR(IF(AK471&lt;&gt;"",AK471/43560,""),"—")</f>
        <v/>
      </c>
      <c r="AN471" s="14">
        <f>IFERROR(IF(AL471="","",IF(AL471&lt;2,"Residential (&lt;2ac)",IF(AL471&lt;10,"Small Rural (2-10ac)",IF(AL471&lt;40,"Rural (10-40ac)",IF(AL471&lt;100,"Farm/Estate (40-100ac)","Large Farm (100+ac)"))))),"—")</f>
        <v/>
      </c>
      <c r="AZ471" s="21" t="n"/>
      <c r="BF471" s="21" t="n"/>
      <c r="BG471" s="21" t="n"/>
      <c r="BH471" s="22">
        <f>IFERROR(IF(AND(BF471&lt;&gt;"",BG471&lt;&gt;""),AVERAGE(BF471,BG471),""),"—")</f>
        <v/>
      </c>
      <c r="BK471" s="21" t="n"/>
      <c r="BM471" s="21" t="n"/>
      <c r="BN471" s="28">
        <f>IFERROR(IF(AND(BK471&lt;&gt;"",BM471&lt;&gt;""),IF(BM471&lt;BK471,1,0),""),"")</f>
        <v/>
      </c>
      <c r="BP471" s="21" t="n"/>
      <c r="BS471" s="29">
        <f>IFERROR(IF(AND(BH471&lt;&gt;"",BK471&lt;&gt;""),(BH471-BK471)/BK471,""),"—")</f>
        <v/>
      </c>
      <c r="BT471" s="29">
        <f>IFERROR(IF(AND(BH471&lt;&gt;"",BP471&lt;&gt;""),(BH471-BP471)/BP471,""),"—")</f>
        <v/>
      </c>
      <c r="BU471" s="29">
        <f>IFERROR(IF(AND(BK471&lt;&gt;"",BP471&lt;&gt;""),(BP471-BK471)/BK471,""),"—")</f>
        <v/>
      </c>
    </row>
    <row r="472">
      <c r="AK472" s="14">
        <f>IFERROR(IF(AND(AG472&lt;&gt;"",AH472&lt;&gt;""),AG472*AH472,IF(AI472&lt;&gt;"",AI472,IF(AJ472&lt;&gt;"",AJ472*43560,""))),"ERROR")</f>
        <v/>
      </c>
      <c r="AL472" s="15">
        <f>IFERROR(IF(AK472&lt;&gt;"",AK472/43560,""),"—")</f>
        <v/>
      </c>
      <c r="AN472" s="14">
        <f>IFERROR(IF(AL472="","",IF(AL472&lt;2,"Residential (&lt;2ac)",IF(AL472&lt;10,"Small Rural (2-10ac)",IF(AL472&lt;40,"Rural (10-40ac)",IF(AL472&lt;100,"Farm/Estate (40-100ac)","Large Farm (100+ac)"))))),"—")</f>
        <v/>
      </c>
      <c r="AZ472" s="21" t="n"/>
      <c r="BF472" s="21" t="n"/>
      <c r="BG472" s="21" t="n"/>
      <c r="BH472" s="22">
        <f>IFERROR(IF(AND(BF472&lt;&gt;"",BG472&lt;&gt;""),AVERAGE(BF472,BG472),""),"—")</f>
        <v/>
      </c>
      <c r="BK472" s="21" t="n"/>
      <c r="BM472" s="21" t="n"/>
      <c r="BN472" s="28">
        <f>IFERROR(IF(AND(BK472&lt;&gt;"",BM472&lt;&gt;""),IF(BM472&lt;BK472,1,0),""),"")</f>
        <v/>
      </c>
      <c r="BP472" s="21" t="n"/>
      <c r="BS472" s="29">
        <f>IFERROR(IF(AND(BH472&lt;&gt;"",BK472&lt;&gt;""),(BH472-BK472)/BK472,""),"—")</f>
        <v/>
      </c>
      <c r="BT472" s="29">
        <f>IFERROR(IF(AND(BH472&lt;&gt;"",BP472&lt;&gt;""),(BH472-BP472)/BP472,""),"—")</f>
        <v/>
      </c>
      <c r="BU472" s="29">
        <f>IFERROR(IF(AND(BK472&lt;&gt;"",BP472&lt;&gt;""),(BP472-BK472)/BK472,""),"—")</f>
        <v/>
      </c>
    </row>
    <row r="473">
      <c r="AK473" s="14">
        <f>IFERROR(IF(AND(AG473&lt;&gt;"",AH473&lt;&gt;""),AG473*AH473,IF(AI473&lt;&gt;"",AI473,IF(AJ473&lt;&gt;"",AJ473*43560,""))),"ERROR")</f>
        <v/>
      </c>
      <c r="AL473" s="15">
        <f>IFERROR(IF(AK473&lt;&gt;"",AK473/43560,""),"—")</f>
        <v/>
      </c>
      <c r="AN473" s="14">
        <f>IFERROR(IF(AL473="","",IF(AL473&lt;2,"Residential (&lt;2ac)",IF(AL473&lt;10,"Small Rural (2-10ac)",IF(AL473&lt;40,"Rural (10-40ac)",IF(AL473&lt;100,"Farm/Estate (40-100ac)","Large Farm (100+ac)"))))),"—")</f>
        <v/>
      </c>
      <c r="AZ473" s="21" t="n"/>
      <c r="BF473" s="21" t="n"/>
      <c r="BG473" s="21" t="n"/>
      <c r="BH473" s="22">
        <f>IFERROR(IF(AND(BF473&lt;&gt;"",BG473&lt;&gt;""),AVERAGE(BF473,BG473),""),"—")</f>
        <v/>
      </c>
      <c r="BK473" s="21" t="n"/>
      <c r="BM473" s="21" t="n"/>
      <c r="BN473" s="28">
        <f>IFERROR(IF(AND(BK473&lt;&gt;"",BM473&lt;&gt;""),IF(BM473&lt;BK473,1,0),""),"")</f>
        <v/>
      </c>
      <c r="BP473" s="21" t="n"/>
      <c r="BS473" s="29">
        <f>IFERROR(IF(AND(BH473&lt;&gt;"",BK473&lt;&gt;""),(BH473-BK473)/BK473,""),"—")</f>
        <v/>
      </c>
      <c r="BT473" s="29">
        <f>IFERROR(IF(AND(BH473&lt;&gt;"",BP473&lt;&gt;""),(BH473-BP473)/BP473,""),"—")</f>
        <v/>
      </c>
      <c r="BU473" s="29">
        <f>IFERROR(IF(AND(BK473&lt;&gt;"",BP473&lt;&gt;""),(BP473-BK473)/BK473,""),"—")</f>
        <v/>
      </c>
    </row>
    <row r="474">
      <c r="AK474" s="14">
        <f>IFERROR(IF(AND(AG474&lt;&gt;"",AH474&lt;&gt;""),AG474*AH474,IF(AI474&lt;&gt;"",AI474,IF(AJ474&lt;&gt;"",AJ474*43560,""))),"ERROR")</f>
        <v/>
      </c>
      <c r="AL474" s="15">
        <f>IFERROR(IF(AK474&lt;&gt;"",AK474/43560,""),"—")</f>
        <v/>
      </c>
      <c r="AN474" s="14">
        <f>IFERROR(IF(AL474="","",IF(AL474&lt;2,"Residential (&lt;2ac)",IF(AL474&lt;10,"Small Rural (2-10ac)",IF(AL474&lt;40,"Rural (10-40ac)",IF(AL474&lt;100,"Farm/Estate (40-100ac)","Large Farm (100+ac)"))))),"—")</f>
        <v/>
      </c>
      <c r="AZ474" s="21" t="n"/>
      <c r="BF474" s="21" t="n"/>
      <c r="BG474" s="21" t="n"/>
      <c r="BH474" s="22">
        <f>IFERROR(IF(AND(BF474&lt;&gt;"",BG474&lt;&gt;""),AVERAGE(BF474,BG474),""),"—")</f>
        <v/>
      </c>
      <c r="BK474" s="21" t="n"/>
      <c r="BM474" s="21" t="n"/>
      <c r="BN474" s="28">
        <f>IFERROR(IF(AND(BK474&lt;&gt;"",BM474&lt;&gt;""),IF(BM474&lt;BK474,1,0),""),"")</f>
        <v/>
      </c>
      <c r="BP474" s="21" t="n"/>
      <c r="BS474" s="29">
        <f>IFERROR(IF(AND(BH474&lt;&gt;"",BK474&lt;&gt;""),(BH474-BK474)/BK474,""),"—")</f>
        <v/>
      </c>
      <c r="BT474" s="29">
        <f>IFERROR(IF(AND(BH474&lt;&gt;"",BP474&lt;&gt;""),(BH474-BP474)/BP474,""),"—")</f>
        <v/>
      </c>
      <c r="BU474" s="29">
        <f>IFERROR(IF(AND(BK474&lt;&gt;"",BP474&lt;&gt;""),(BP474-BK474)/BK474,""),"—")</f>
        <v/>
      </c>
    </row>
    <row r="475">
      <c r="AK475" s="14">
        <f>IFERROR(IF(AND(AG475&lt;&gt;"",AH475&lt;&gt;""),AG475*AH475,IF(AI475&lt;&gt;"",AI475,IF(AJ475&lt;&gt;"",AJ475*43560,""))),"ERROR")</f>
        <v/>
      </c>
      <c r="AL475" s="15">
        <f>IFERROR(IF(AK475&lt;&gt;"",AK475/43560,""),"—")</f>
        <v/>
      </c>
      <c r="AN475" s="14">
        <f>IFERROR(IF(AL475="","",IF(AL475&lt;2,"Residential (&lt;2ac)",IF(AL475&lt;10,"Small Rural (2-10ac)",IF(AL475&lt;40,"Rural (10-40ac)",IF(AL475&lt;100,"Farm/Estate (40-100ac)","Large Farm (100+ac)"))))),"—")</f>
        <v/>
      </c>
      <c r="AZ475" s="21" t="n"/>
      <c r="BF475" s="21" t="n"/>
      <c r="BG475" s="21" t="n"/>
      <c r="BH475" s="22">
        <f>IFERROR(IF(AND(BF475&lt;&gt;"",BG475&lt;&gt;""),AVERAGE(BF475,BG475),""),"—")</f>
        <v/>
      </c>
      <c r="BK475" s="21" t="n"/>
      <c r="BM475" s="21" t="n"/>
      <c r="BN475" s="28">
        <f>IFERROR(IF(AND(BK475&lt;&gt;"",BM475&lt;&gt;""),IF(BM475&lt;BK475,1,0),""),"")</f>
        <v/>
      </c>
      <c r="BP475" s="21" t="n"/>
      <c r="BS475" s="29">
        <f>IFERROR(IF(AND(BH475&lt;&gt;"",BK475&lt;&gt;""),(BH475-BK475)/BK475,""),"—")</f>
        <v/>
      </c>
      <c r="BT475" s="29">
        <f>IFERROR(IF(AND(BH475&lt;&gt;"",BP475&lt;&gt;""),(BH475-BP475)/BP475,""),"—")</f>
        <v/>
      </c>
      <c r="BU475" s="29">
        <f>IFERROR(IF(AND(BK475&lt;&gt;"",BP475&lt;&gt;""),(BP475-BK475)/BK475,""),"—")</f>
        <v/>
      </c>
    </row>
    <row r="476">
      <c r="AK476" s="14">
        <f>IFERROR(IF(AND(AG476&lt;&gt;"",AH476&lt;&gt;""),AG476*AH476,IF(AI476&lt;&gt;"",AI476,IF(AJ476&lt;&gt;"",AJ476*43560,""))),"ERROR")</f>
        <v/>
      </c>
      <c r="AL476" s="15">
        <f>IFERROR(IF(AK476&lt;&gt;"",AK476/43560,""),"—")</f>
        <v/>
      </c>
      <c r="AN476" s="14">
        <f>IFERROR(IF(AL476="","",IF(AL476&lt;2,"Residential (&lt;2ac)",IF(AL476&lt;10,"Small Rural (2-10ac)",IF(AL476&lt;40,"Rural (10-40ac)",IF(AL476&lt;100,"Farm/Estate (40-100ac)","Large Farm (100+ac)"))))),"—")</f>
        <v/>
      </c>
      <c r="AZ476" s="21" t="n"/>
      <c r="BF476" s="21" t="n"/>
      <c r="BG476" s="21" t="n"/>
      <c r="BH476" s="22">
        <f>IFERROR(IF(AND(BF476&lt;&gt;"",BG476&lt;&gt;""),AVERAGE(BF476,BG476),""),"—")</f>
        <v/>
      </c>
      <c r="BK476" s="21" t="n"/>
      <c r="BM476" s="21" t="n"/>
      <c r="BN476" s="28">
        <f>IFERROR(IF(AND(BK476&lt;&gt;"",BM476&lt;&gt;""),IF(BM476&lt;BK476,1,0),""),"")</f>
        <v/>
      </c>
      <c r="BP476" s="21" t="n"/>
      <c r="BS476" s="29">
        <f>IFERROR(IF(AND(BH476&lt;&gt;"",BK476&lt;&gt;""),(BH476-BK476)/BK476,""),"—")</f>
        <v/>
      </c>
      <c r="BT476" s="29">
        <f>IFERROR(IF(AND(BH476&lt;&gt;"",BP476&lt;&gt;""),(BH476-BP476)/BP476,""),"—")</f>
        <v/>
      </c>
      <c r="BU476" s="29">
        <f>IFERROR(IF(AND(BK476&lt;&gt;"",BP476&lt;&gt;""),(BP476-BK476)/BK476,""),"—")</f>
        <v/>
      </c>
    </row>
    <row r="477">
      <c r="AK477" s="14">
        <f>IFERROR(IF(AND(AG477&lt;&gt;"",AH477&lt;&gt;""),AG477*AH477,IF(AI477&lt;&gt;"",AI477,IF(AJ477&lt;&gt;"",AJ477*43560,""))),"ERROR")</f>
        <v/>
      </c>
      <c r="AL477" s="15">
        <f>IFERROR(IF(AK477&lt;&gt;"",AK477/43560,""),"—")</f>
        <v/>
      </c>
      <c r="AN477" s="14">
        <f>IFERROR(IF(AL477="","",IF(AL477&lt;2,"Residential (&lt;2ac)",IF(AL477&lt;10,"Small Rural (2-10ac)",IF(AL477&lt;40,"Rural (10-40ac)",IF(AL477&lt;100,"Farm/Estate (40-100ac)","Large Farm (100+ac)"))))),"—")</f>
        <v/>
      </c>
      <c r="AZ477" s="21" t="n"/>
      <c r="BF477" s="21" t="n"/>
      <c r="BG477" s="21" t="n"/>
      <c r="BH477" s="22">
        <f>IFERROR(IF(AND(BF477&lt;&gt;"",BG477&lt;&gt;""),AVERAGE(BF477,BG477),""),"—")</f>
        <v/>
      </c>
      <c r="BK477" s="21" t="n"/>
      <c r="BM477" s="21" t="n"/>
      <c r="BN477" s="28">
        <f>IFERROR(IF(AND(BK477&lt;&gt;"",BM477&lt;&gt;""),IF(BM477&lt;BK477,1,0),""),"")</f>
        <v/>
      </c>
      <c r="BP477" s="21" t="n"/>
      <c r="BS477" s="29">
        <f>IFERROR(IF(AND(BH477&lt;&gt;"",BK477&lt;&gt;""),(BH477-BK477)/BK477,""),"—")</f>
        <v/>
      </c>
      <c r="BT477" s="29">
        <f>IFERROR(IF(AND(BH477&lt;&gt;"",BP477&lt;&gt;""),(BH477-BP477)/BP477,""),"—")</f>
        <v/>
      </c>
      <c r="BU477" s="29">
        <f>IFERROR(IF(AND(BK477&lt;&gt;"",BP477&lt;&gt;""),(BP477-BK477)/BK477,""),"—")</f>
        <v/>
      </c>
    </row>
    <row r="478">
      <c r="AK478" s="14">
        <f>IFERROR(IF(AND(AG478&lt;&gt;"",AH478&lt;&gt;""),AG478*AH478,IF(AI478&lt;&gt;"",AI478,IF(AJ478&lt;&gt;"",AJ478*43560,""))),"ERROR")</f>
        <v/>
      </c>
      <c r="AL478" s="15">
        <f>IFERROR(IF(AK478&lt;&gt;"",AK478/43560,""),"—")</f>
        <v/>
      </c>
      <c r="AN478" s="14">
        <f>IFERROR(IF(AL478="","",IF(AL478&lt;2,"Residential (&lt;2ac)",IF(AL478&lt;10,"Small Rural (2-10ac)",IF(AL478&lt;40,"Rural (10-40ac)",IF(AL478&lt;100,"Farm/Estate (40-100ac)","Large Farm (100+ac)"))))),"—")</f>
        <v/>
      </c>
      <c r="AZ478" s="21" t="n"/>
      <c r="BF478" s="21" t="n"/>
      <c r="BG478" s="21" t="n"/>
      <c r="BH478" s="22">
        <f>IFERROR(IF(AND(BF478&lt;&gt;"",BG478&lt;&gt;""),AVERAGE(BF478,BG478),""),"—")</f>
        <v/>
      </c>
      <c r="BK478" s="21" t="n"/>
      <c r="BM478" s="21" t="n"/>
      <c r="BN478" s="28">
        <f>IFERROR(IF(AND(BK478&lt;&gt;"",BM478&lt;&gt;""),IF(BM478&lt;BK478,1,0),""),"")</f>
        <v/>
      </c>
      <c r="BP478" s="21" t="n"/>
      <c r="BS478" s="29">
        <f>IFERROR(IF(AND(BH478&lt;&gt;"",BK478&lt;&gt;""),(BH478-BK478)/BK478,""),"—")</f>
        <v/>
      </c>
      <c r="BT478" s="29">
        <f>IFERROR(IF(AND(BH478&lt;&gt;"",BP478&lt;&gt;""),(BH478-BP478)/BP478,""),"—")</f>
        <v/>
      </c>
      <c r="BU478" s="29">
        <f>IFERROR(IF(AND(BK478&lt;&gt;"",BP478&lt;&gt;""),(BP478-BK478)/BK478,""),"—")</f>
        <v/>
      </c>
    </row>
    <row r="479">
      <c r="AK479" s="14">
        <f>IFERROR(IF(AND(AG479&lt;&gt;"",AH479&lt;&gt;""),AG479*AH479,IF(AI479&lt;&gt;"",AI479,IF(AJ479&lt;&gt;"",AJ479*43560,""))),"ERROR")</f>
        <v/>
      </c>
      <c r="AL479" s="15">
        <f>IFERROR(IF(AK479&lt;&gt;"",AK479/43560,""),"—")</f>
        <v/>
      </c>
      <c r="AN479" s="14">
        <f>IFERROR(IF(AL479="","",IF(AL479&lt;2,"Residential (&lt;2ac)",IF(AL479&lt;10,"Small Rural (2-10ac)",IF(AL479&lt;40,"Rural (10-40ac)",IF(AL479&lt;100,"Farm/Estate (40-100ac)","Large Farm (100+ac)"))))),"—")</f>
        <v/>
      </c>
      <c r="AZ479" s="21" t="n"/>
      <c r="BF479" s="21" t="n"/>
      <c r="BG479" s="21" t="n"/>
      <c r="BH479" s="22">
        <f>IFERROR(IF(AND(BF479&lt;&gt;"",BG479&lt;&gt;""),AVERAGE(BF479,BG479),""),"—")</f>
        <v/>
      </c>
      <c r="BK479" s="21" t="n"/>
      <c r="BM479" s="21" t="n"/>
      <c r="BN479" s="28">
        <f>IFERROR(IF(AND(BK479&lt;&gt;"",BM479&lt;&gt;""),IF(BM479&lt;BK479,1,0),""),"")</f>
        <v/>
      </c>
      <c r="BP479" s="21" t="n"/>
      <c r="BS479" s="29">
        <f>IFERROR(IF(AND(BH479&lt;&gt;"",BK479&lt;&gt;""),(BH479-BK479)/BK479,""),"—")</f>
        <v/>
      </c>
      <c r="BT479" s="29">
        <f>IFERROR(IF(AND(BH479&lt;&gt;"",BP479&lt;&gt;""),(BH479-BP479)/BP479,""),"—")</f>
        <v/>
      </c>
      <c r="BU479" s="29">
        <f>IFERROR(IF(AND(BK479&lt;&gt;"",BP479&lt;&gt;""),(BP479-BK479)/BK479,""),"—")</f>
        <v/>
      </c>
    </row>
    <row r="480">
      <c r="AK480" s="14">
        <f>IFERROR(IF(AND(AG480&lt;&gt;"",AH480&lt;&gt;""),AG480*AH480,IF(AI480&lt;&gt;"",AI480,IF(AJ480&lt;&gt;"",AJ480*43560,""))),"ERROR")</f>
        <v/>
      </c>
      <c r="AL480" s="15">
        <f>IFERROR(IF(AK480&lt;&gt;"",AK480/43560,""),"—")</f>
        <v/>
      </c>
      <c r="AN480" s="14">
        <f>IFERROR(IF(AL480="","",IF(AL480&lt;2,"Residential (&lt;2ac)",IF(AL480&lt;10,"Small Rural (2-10ac)",IF(AL480&lt;40,"Rural (10-40ac)",IF(AL480&lt;100,"Farm/Estate (40-100ac)","Large Farm (100+ac)"))))),"—")</f>
        <v/>
      </c>
      <c r="AZ480" s="21" t="n"/>
      <c r="BF480" s="21" t="n"/>
      <c r="BG480" s="21" t="n"/>
      <c r="BH480" s="22">
        <f>IFERROR(IF(AND(BF480&lt;&gt;"",BG480&lt;&gt;""),AVERAGE(BF480,BG480),""),"—")</f>
        <v/>
      </c>
      <c r="BK480" s="21" t="n"/>
      <c r="BM480" s="21" t="n"/>
      <c r="BN480" s="28">
        <f>IFERROR(IF(AND(BK480&lt;&gt;"",BM480&lt;&gt;""),IF(BM480&lt;BK480,1,0),""),"")</f>
        <v/>
      </c>
      <c r="BP480" s="21" t="n"/>
      <c r="BS480" s="29">
        <f>IFERROR(IF(AND(BH480&lt;&gt;"",BK480&lt;&gt;""),(BH480-BK480)/BK480,""),"—")</f>
        <v/>
      </c>
      <c r="BT480" s="29">
        <f>IFERROR(IF(AND(BH480&lt;&gt;"",BP480&lt;&gt;""),(BH480-BP480)/BP480,""),"—")</f>
        <v/>
      </c>
      <c r="BU480" s="29">
        <f>IFERROR(IF(AND(BK480&lt;&gt;"",BP480&lt;&gt;""),(BP480-BK480)/BK480,""),"—")</f>
        <v/>
      </c>
    </row>
    <row r="481">
      <c r="AK481" s="14">
        <f>IFERROR(IF(AND(AG481&lt;&gt;"",AH481&lt;&gt;""),AG481*AH481,IF(AI481&lt;&gt;"",AI481,IF(AJ481&lt;&gt;"",AJ481*43560,""))),"ERROR")</f>
        <v/>
      </c>
      <c r="AL481" s="15">
        <f>IFERROR(IF(AK481&lt;&gt;"",AK481/43560,""),"—")</f>
        <v/>
      </c>
      <c r="AN481" s="14">
        <f>IFERROR(IF(AL481="","",IF(AL481&lt;2,"Residential (&lt;2ac)",IF(AL481&lt;10,"Small Rural (2-10ac)",IF(AL481&lt;40,"Rural (10-40ac)",IF(AL481&lt;100,"Farm/Estate (40-100ac)","Large Farm (100+ac)"))))),"—")</f>
        <v/>
      </c>
      <c r="AZ481" s="21" t="n"/>
      <c r="BF481" s="21" t="n"/>
      <c r="BG481" s="21" t="n"/>
      <c r="BH481" s="22">
        <f>IFERROR(IF(AND(BF481&lt;&gt;"",BG481&lt;&gt;""),AVERAGE(BF481,BG481),""),"—")</f>
        <v/>
      </c>
      <c r="BK481" s="21" t="n"/>
      <c r="BM481" s="21" t="n"/>
      <c r="BN481" s="28">
        <f>IFERROR(IF(AND(BK481&lt;&gt;"",BM481&lt;&gt;""),IF(BM481&lt;BK481,1,0),""),"")</f>
        <v/>
      </c>
      <c r="BP481" s="21" t="n"/>
      <c r="BS481" s="29">
        <f>IFERROR(IF(AND(BH481&lt;&gt;"",BK481&lt;&gt;""),(BH481-BK481)/BK481,""),"—")</f>
        <v/>
      </c>
      <c r="BT481" s="29">
        <f>IFERROR(IF(AND(BH481&lt;&gt;"",BP481&lt;&gt;""),(BH481-BP481)/BP481,""),"—")</f>
        <v/>
      </c>
      <c r="BU481" s="29">
        <f>IFERROR(IF(AND(BK481&lt;&gt;"",BP481&lt;&gt;""),(BP481-BK481)/BK481,""),"—")</f>
        <v/>
      </c>
    </row>
    <row r="482">
      <c r="AK482" s="14">
        <f>IFERROR(IF(AND(AG482&lt;&gt;"",AH482&lt;&gt;""),AG482*AH482,IF(AI482&lt;&gt;"",AI482,IF(AJ482&lt;&gt;"",AJ482*43560,""))),"ERROR")</f>
        <v/>
      </c>
      <c r="AL482" s="15">
        <f>IFERROR(IF(AK482&lt;&gt;"",AK482/43560,""),"—")</f>
        <v/>
      </c>
      <c r="AN482" s="14">
        <f>IFERROR(IF(AL482="","",IF(AL482&lt;2,"Residential (&lt;2ac)",IF(AL482&lt;10,"Small Rural (2-10ac)",IF(AL482&lt;40,"Rural (10-40ac)",IF(AL482&lt;100,"Farm/Estate (40-100ac)","Large Farm (100+ac)"))))),"—")</f>
        <v/>
      </c>
      <c r="AZ482" s="21" t="n"/>
      <c r="BF482" s="21" t="n"/>
      <c r="BG482" s="21" t="n"/>
      <c r="BH482" s="22">
        <f>IFERROR(IF(AND(BF482&lt;&gt;"",BG482&lt;&gt;""),AVERAGE(BF482,BG482),""),"—")</f>
        <v/>
      </c>
      <c r="BK482" s="21" t="n"/>
      <c r="BM482" s="21" t="n"/>
      <c r="BN482" s="28">
        <f>IFERROR(IF(AND(BK482&lt;&gt;"",BM482&lt;&gt;""),IF(BM482&lt;BK482,1,0),""),"")</f>
        <v/>
      </c>
      <c r="BP482" s="21" t="n"/>
      <c r="BS482" s="29">
        <f>IFERROR(IF(AND(BH482&lt;&gt;"",BK482&lt;&gt;""),(BH482-BK482)/BK482,""),"—")</f>
        <v/>
      </c>
      <c r="BT482" s="29">
        <f>IFERROR(IF(AND(BH482&lt;&gt;"",BP482&lt;&gt;""),(BH482-BP482)/BP482,""),"—")</f>
        <v/>
      </c>
      <c r="BU482" s="29">
        <f>IFERROR(IF(AND(BK482&lt;&gt;"",BP482&lt;&gt;""),(BP482-BK482)/BK482,""),"—")</f>
        <v/>
      </c>
    </row>
    <row r="483">
      <c r="AK483" s="14">
        <f>IFERROR(IF(AND(AG483&lt;&gt;"",AH483&lt;&gt;""),AG483*AH483,IF(AI483&lt;&gt;"",AI483,IF(AJ483&lt;&gt;"",AJ483*43560,""))),"ERROR")</f>
        <v/>
      </c>
      <c r="AL483" s="15">
        <f>IFERROR(IF(AK483&lt;&gt;"",AK483/43560,""),"—")</f>
        <v/>
      </c>
      <c r="AN483" s="14">
        <f>IFERROR(IF(AL483="","",IF(AL483&lt;2,"Residential (&lt;2ac)",IF(AL483&lt;10,"Small Rural (2-10ac)",IF(AL483&lt;40,"Rural (10-40ac)",IF(AL483&lt;100,"Farm/Estate (40-100ac)","Large Farm (100+ac)"))))),"—")</f>
        <v/>
      </c>
      <c r="AZ483" s="21" t="n"/>
      <c r="BF483" s="21" t="n"/>
      <c r="BG483" s="21" t="n"/>
      <c r="BH483" s="22">
        <f>IFERROR(IF(AND(BF483&lt;&gt;"",BG483&lt;&gt;""),AVERAGE(BF483,BG483),""),"—")</f>
        <v/>
      </c>
      <c r="BK483" s="21" t="n"/>
      <c r="BM483" s="21" t="n"/>
      <c r="BN483" s="28">
        <f>IFERROR(IF(AND(BK483&lt;&gt;"",BM483&lt;&gt;""),IF(BM483&lt;BK483,1,0),""),"")</f>
        <v/>
      </c>
      <c r="BP483" s="21" t="n"/>
      <c r="BS483" s="29">
        <f>IFERROR(IF(AND(BH483&lt;&gt;"",BK483&lt;&gt;""),(BH483-BK483)/BK483,""),"—")</f>
        <v/>
      </c>
      <c r="BT483" s="29">
        <f>IFERROR(IF(AND(BH483&lt;&gt;"",BP483&lt;&gt;""),(BH483-BP483)/BP483,""),"—")</f>
        <v/>
      </c>
      <c r="BU483" s="29">
        <f>IFERROR(IF(AND(BK483&lt;&gt;"",BP483&lt;&gt;""),(BP483-BK483)/BK483,""),"—")</f>
        <v/>
      </c>
    </row>
    <row r="484">
      <c r="AK484" s="14">
        <f>IFERROR(IF(AND(AG484&lt;&gt;"",AH484&lt;&gt;""),AG484*AH484,IF(AI484&lt;&gt;"",AI484,IF(AJ484&lt;&gt;"",AJ484*43560,""))),"ERROR")</f>
        <v/>
      </c>
      <c r="AL484" s="15">
        <f>IFERROR(IF(AK484&lt;&gt;"",AK484/43560,""),"—")</f>
        <v/>
      </c>
      <c r="AN484" s="14">
        <f>IFERROR(IF(AL484="","",IF(AL484&lt;2,"Residential (&lt;2ac)",IF(AL484&lt;10,"Small Rural (2-10ac)",IF(AL484&lt;40,"Rural (10-40ac)",IF(AL484&lt;100,"Farm/Estate (40-100ac)","Large Farm (100+ac)"))))),"—")</f>
        <v/>
      </c>
      <c r="AZ484" s="21" t="n"/>
      <c r="BF484" s="21" t="n"/>
      <c r="BG484" s="21" t="n"/>
      <c r="BH484" s="22">
        <f>IFERROR(IF(AND(BF484&lt;&gt;"",BG484&lt;&gt;""),AVERAGE(BF484,BG484),""),"—")</f>
        <v/>
      </c>
      <c r="BK484" s="21" t="n"/>
      <c r="BM484" s="21" t="n"/>
      <c r="BN484" s="28">
        <f>IFERROR(IF(AND(BK484&lt;&gt;"",BM484&lt;&gt;""),IF(BM484&lt;BK484,1,0),""),"")</f>
        <v/>
      </c>
      <c r="BP484" s="21" t="n"/>
      <c r="BS484" s="29">
        <f>IFERROR(IF(AND(BH484&lt;&gt;"",BK484&lt;&gt;""),(BH484-BK484)/BK484,""),"—")</f>
        <v/>
      </c>
      <c r="BT484" s="29">
        <f>IFERROR(IF(AND(BH484&lt;&gt;"",BP484&lt;&gt;""),(BH484-BP484)/BP484,""),"—")</f>
        <v/>
      </c>
      <c r="BU484" s="29">
        <f>IFERROR(IF(AND(BK484&lt;&gt;"",BP484&lt;&gt;""),(BP484-BK484)/BK484,""),"—")</f>
        <v/>
      </c>
    </row>
    <row r="485">
      <c r="AK485" s="14">
        <f>IFERROR(IF(AND(AG485&lt;&gt;"",AH485&lt;&gt;""),AG485*AH485,IF(AI485&lt;&gt;"",AI485,IF(AJ485&lt;&gt;"",AJ485*43560,""))),"ERROR")</f>
        <v/>
      </c>
      <c r="AL485" s="15">
        <f>IFERROR(IF(AK485&lt;&gt;"",AK485/43560,""),"—")</f>
        <v/>
      </c>
      <c r="AN485" s="14">
        <f>IFERROR(IF(AL485="","",IF(AL485&lt;2,"Residential (&lt;2ac)",IF(AL485&lt;10,"Small Rural (2-10ac)",IF(AL485&lt;40,"Rural (10-40ac)",IF(AL485&lt;100,"Farm/Estate (40-100ac)","Large Farm (100+ac)"))))),"—")</f>
        <v/>
      </c>
      <c r="AZ485" s="21" t="n"/>
      <c r="BF485" s="21" t="n"/>
      <c r="BG485" s="21" t="n"/>
      <c r="BH485" s="22">
        <f>IFERROR(IF(AND(BF485&lt;&gt;"",BG485&lt;&gt;""),AVERAGE(BF485,BG485),""),"—")</f>
        <v/>
      </c>
      <c r="BK485" s="21" t="n"/>
      <c r="BM485" s="21" t="n"/>
      <c r="BN485" s="28">
        <f>IFERROR(IF(AND(BK485&lt;&gt;"",BM485&lt;&gt;""),IF(BM485&lt;BK485,1,0),""),"")</f>
        <v/>
      </c>
      <c r="BP485" s="21" t="n"/>
      <c r="BS485" s="29">
        <f>IFERROR(IF(AND(BH485&lt;&gt;"",BK485&lt;&gt;""),(BH485-BK485)/BK485,""),"—")</f>
        <v/>
      </c>
      <c r="BT485" s="29">
        <f>IFERROR(IF(AND(BH485&lt;&gt;"",BP485&lt;&gt;""),(BH485-BP485)/BP485,""),"—")</f>
        <v/>
      </c>
      <c r="BU485" s="29">
        <f>IFERROR(IF(AND(BK485&lt;&gt;"",BP485&lt;&gt;""),(BP485-BK485)/BK485,""),"—")</f>
        <v/>
      </c>
    </row>
    <row r="486">
      <c r="AK486" s="14">
        <f>IFERROR(IF(AND(AG486&lt;&gt;"",AH486&lt;&gt;""),AG486*AH486,IF(AI486&lt;&gt;"",AI486,IF(AJ486&lt;&gt;"",AJ486*43560,""))),"ERROR")</f>
        <v/>
      </c>
      <c r="AL486" s="15">
        <f>IFERROR(IF(AK486&lt;&gt;"",AK486/43560,""),"—")</f>
        <v/>
      </c>
      <c r="AN486" s="14">
        <f>IFERROR(IF(AL486="","",IF(AL486&lt;2,"Residential (&lt;2ac)",IF(AL486&lt;10,"Small Rural (2-10ac)",IF(AL486&lt;40,"Rural (10-40ac)",IF(AL486&lt;100,"Farm/Estate (40-100ac)","Large Farm (100+ac)"))))),"—")</f>
        <v/>
      </c>
      <c r="AZ486" s="21" t="n"/>
      <c r="BF486" s="21" t="n"/>
      <c r="BG486" s="21" t="n"/>
      <c r="BH486" s="22">
        <f>IFERROR(IF(AND(BF486&lt;&gt;"",BG486&lt;&gt;""),AVERAGE(BF486,BG486),""),"—")</f>
        <v/>
      </c>
      <c r="BK486" s="21" t="n"/>
      <c r="BM486" s="21" t="n"/>
      <c r="BN486" s="28">
        <f>IFERROR(IF(AND(BK486&lt;&gt;"",BM486&lt;&gt;""),IF(BM486&lt;BK486,1,0),""),"")</f>
        <v/>
      </c>
      <c r="BP486" s="21" t="n"/>
      <c r="BS486" s="29">
        <f>IFERROR(IF(AND(BH486&lt;&gt;"",BK486&lt;&gt;""),(BH486-BK486)/BK486,""),"—")</f>
        <v/>
      </c>
      <c r="BT486" s="29">
        <f>IFERROR(IF(AND(BH486&lt;&gt;"",BP486&lt;&gt;""),(BH486-BP486)/BP486,""),"—")</f>
        <v/>
      </c>
      <c r="BU486" s="29">
        <f>IFERROR(IF(AND(BK486&lt;&gt;"",BP486&lt;&gt;""),(BP486-BK486)/BK486,""),"—")</f>
        <v/>
      </c>
    </row>
    <row r="487">
      <c r="AK487" s="14">
        <f>IFERROR(IF(AND(AG487&lt;&gt;"",AH487&lt;&gt;""),AG487*AH487,IF(AI487&lt;&gt;"",AI487,IF(AJ487&lt;&gt;"",AJ487*43560,""))),"ERROR")</f>
        <v/>
      </c>
      <c r="AL487" s="15">
        <f>IFERROR(IF(AK487&lt;&gt;"",AK487/43560,""),"—")</f>
        <v/>
      </c>
      <c r="AN487" s="14">
        <f>IFERROR(IF(AL487="","",IF(AL487&lt;2,"Residential (&lt;2ac)",IF(AL487&lt;10,"Small Rural (2-10ac)",IF(AL487&lt;40,"Rural (10-40ac)",IF(AL487&lt;100,"Farm/Estate (40-100ac)","Large Farm (100+ac)"))))),"—")</f>
        <v/>
      </c>
      <c r="AZ487" s="21" t="n"/>
      <c r="BF487" s="21" t="n"/>
      <c r="BG487" s="21" t="n"/>
      <c r="BH487" s="22">
        <f>IFERROR(IF(AND(BF487&lt;&gt;"",BG487&lt;&gt;""),AVERAGE(BF487,BG487),""),"—")</f>
        <v/>
      </c>
      <c r="BK487" s="21" t="n"/>
      <c r="BM487" s="21" t="n"/>
      <c r="BN487" s="28">
        <f>IFERROR(IF(AND(BK487&lt;&gt;"",BM487&lt;&gt;""),IF(BM487&lt;BK487,1,0),""),"")</f>
        <v/>
      </c>
      <c r="BP487" s="21" t="n"/>
      <c r="BS487" s="29">
        <f>IFERROR(IF(AND(BH487&lt;&gt;"",BK487&lt;&gt;""),(BH487-BK487)/BK487,""),"—")</f>
        <v/>
      </c>
      <c r="BT487" s="29">
        <f>IFERROR(IF(AND(BH487&lt;&gt;"",BP487&lt;&gt;""),(BH487-BP487)/BP487,""),"—")</f>
        <v/>
      </c>
      <c r="BU487" s="29">
        <f>IFERROR(IF(AND(BK487&lt;&gt;"",BP487&lt;&gt;""),(BP487-BK487)/BK487,""),"—")</f>
        <v/>
      </c>
    </row>
    <row r="488">
      <c r="AK488" s="14">
        <f>IFERROR(IF(AND(AG488&lt;&gt;"",AH488&lt;&gt;""),AG488*AH488,IF(AI488&lt;&gt;"",AI488,IF(AJ488&lt;&gt;"",AJ488*43560,""))),"ERROR")</f>
        <v/>
      </c>
      <c r="AL488" s="15">
        <f>IFERROR(IF(AK488&lt;&gt;"",AK488/43560,""),"—")</f>
        <v/>
      </c>
      <c r="AN488" s="14">
        <f>IFERROR(IF(AL488="","",IF(AL488&lt;2,"Residential (&lt;2ac)",IF(AL488&lt;10,"Small Rural (2-10ac)",IF(AL488&lt;40,"Rural (10-40ac)",IF(AL488&lt;100,"Farm/Estate (40-100ac)","Large Farm (100+ac)"))))),"—")</f>
        <v/>
      </c>
      <c r="AZ488" s="21" t="n"/>
      <c r="BF488" s="21" t="n"/>
      <c r="BG488" s="21" t="n"/>
      <c r="BH488" s="22">
        <f>IFERROR(IF(AND(BF488&lt;&gt;"",BG488&lt;&gt;""),AVERAGE(BF488,BG488),""),"—")</f>
        <v/>
      </c>
      <c r="BK488" s="21" t="n"/>
      <c r="BM488" s="21" t="n"/>
      <c r="BN488" s="28">
        <f>IFERROR(IF(AND(BK488&lt;&gt;"",BM488&lt;&gt;""),IF(BM488&lt;BK488,1,0),""),"")</f>
        <v/>
      </c>
      <c r="BP488" s="21" t="n"/>
      <c r="BS488" s="29">
        <f>IFERROR(IF(AND(BH488&lt;&gt;"",BK488&lt;&gt;""),(BH488-BK488)/BK488,""),"—")</f>
        <v/>
      </c>
      <c r="BT488" s="29">
        <f>IFERROR(IF(AND(BH488&lt;&gt;"",BP488&lt;&gt;""),(BH488-BP488)/BP488,""),"—")</f>
        <v/>
      </c>
      <c r="BU488" s="29">
        <f>IFERROR(IF(AND(BK488&lt;&gt;"",BP488&lt;&gt;""),(BP488-BK488)/BK488,""),"—")</f>
        <v/>
      </c>
    </row>
    <row r="489">
      <c r="AK489" s="14">
        <f>IFERROR(IF(AND(AG489&lt;&gt;"",AH489&lt;&gt;""),AG489*AH489,IF(AI489&lt;&gt;"",AI489,IF(AJ489&lt;&gt;"",AJ489*43560,""))),"ERROR")</f>
        <v/>
      </c>
      <c r="AL489" s="15">
        <f>IFERROR(IF(AK489&lt;&gt;"",AK489/43560,""),"—")</f>
        <v/>
      </c>
      <c r="AN489" s="14">
        <f>IFERROR(IF(AL489="","",IF(AL489&lt;2,"Residential (&lt;2ac)",IF(AL489&lt;10,"Small Rural (2-10ac)",IF(AL489&lt;40,"Rural (10-40ac)",IF(AL489&lt;100,"Farm/Estate (40-100ac)","Large Farm (100+ac)"))))),"—")</f>
        <v/>
      </c>
      <c r="AZ489" s="21" t="n"/>
      <c r="BF489" s="21" t="n"/>
      <c r="BG489" s="21" t="n"/>
      <c r="BH489" s="22">
        <f>IFERROR(IF(AND(BF489&lt;&gt;"",BG489&lt;&gt;""),AVERAGE(BF489,BG489),""),"—")</f>
        <v/>
      </c>
      <c r="BK489" s="21" t="n"/>
      <c r="BM489" s="21" t="n"/>
      <c r="BN489" s="28">
        <f>IFERROR(IF(AND(BK489&lt;&gt;"",BM489&lt;&gt;""),IF(BM489&lt;BK489,1,0),""),"")</f>
        <v/>
      </c>
      <c r="BP489" s="21" t="n"/>
      <c r="BS489" s="29">
        <f>IFERROR(IF(AND(BH489&lt;&gt;"",BK489&lt;&gt;""),(BH489-BK489)/BK489,""),"—")</f>
        <v/>
      </c>
      <c r="BT489" s="29">
        <f>IFERROR(IF(AND(BH489&lt;&gt;"",BP489&lt;&gt;""),(BH489-BP489)/BP489,""),"—")</f>
        <v/>
      </c>
      <c r="BU489" s="29">
        <f>IFERROR(IF(AND(BK489&lt;&gt;"",BP489&lt;&gt;""),(BP489-BK489)/BK489,""),"—")</f>
        <v/>
      </c>
    </row>
    <row r="490">
      <c r="AK490" s="14">
        <f>IFERROR(IF(AND(AG490&lt;&gt;"",AH490&lt;&gt;""),AG490*AH490,IF(AI490&lt;&gt;"",AI490,IF(AJ490&lt;&gt;"",AJ490*43560,""))),"ERROR")</f>
        <v/>
      </c>
      <c r="AL490" s="15">
        <f>IFERROR(IF(AK490&lt;&gt;"",AK490/43560,""),"—")</f>
        <v/>
      </c>
      <c r="AN490" s="14">
        <f>IFERROR(IF(AL490="","",IF(AL490&lt;2,"Residential (&lt;2ac)",IF(AL490&lt;10,"Small Rural (2-10ac)",IF(AL490&lt;40,"Rural (10-40ac)",IF(AL490&lt;100,"Farm/Estate (40-100ac)","Large Farm (100+ac)"))))),"—")</f>
        <v/>
      </c>
      <c r="AZ490" s="21" t="n"/>
      <c r="BF490" s="21" t="n"/>
      <c r="BG490" s="21" t="n"/>
      <c r="BH490" s="22">
        <f>IFERROR(IF(AND(BF490&lt;&gt;"",BG490&lt;&gt;""),AVERAGE(BF490,BG490),""),"—")</f>
        <v/>
      </c>
      <c r="BK490" s="21" t="n"/>
      <c r="BM490" s="21" t="n"/>
      <c r="BN490" s="28">
        <f>IFERROR(IF(AND(BK490&lt;&gt;"",BM490&lt;&gt;""),IF(BM490&lt;BK490,1,0),""),"")</f>
        <v/>
      </c>
      <c r="BP490" s="21" t="n"/>
      <c r="BS490" s="29">
        <f>IFERROR(IF(AND(BH490&lt;&gt;"",BK490&lt;&gt;""),(BH490-BK490)/BK490,""),"—")</f>
        <v/>
      </c>
      <c r="BT490" s="29">
        <f>IFERROR(IF(AND(BH490&lt;&gt;"",BP490&lt;&gt;""),(BH490-BP490)/BP490,""),"—")</f>
        <v/>
      </c>
      <c r="BU490" s="29">
        <f>IFERROR(IF(AND(BK490&lt;&gt;"",BP490&lt;&gt;""),(BP490-BK490)/BK490,""),"—")</f>
        <v/>
      </c>
    </row>
    <row r="491">
      <c r="AK491" s="14">
        <f>IFERROR(IF(AND(AG491&lt;&gt;"",AH491&lt;&gt;""),AG491*AH491,IF(AI491&lt;&gt;"",AI491,IF(AJ491&lt;&gt;"",AJ491*43560,""))),"ERROR")</f>
        <v/>
      </c>
      <c r="AL491" s="15">
        <f>IFERROR(IF(AK491&lt;&gt;"",AK491/43560,""),"—")</f>
        <v/>
      </c>
      <c r="AN491" s="14">
        <f>IFERROR(IF(AL491="","",IF(AL491&lt;2,"Residential (&lt;2ac)",IF(AL491&lt;10,"Small Rural (2-10ac)",IF(AL491&lt;40,"Rural (10-40ac)",IF(AL491&lt;100,"Farm/Estate (40-100ac)","Large Farm (100+ac)"))))),"—")</f>
        <v/>
      </c>
      <c r="AZ491" s="21" t="n"/>
      <c r="BF491" s="21" t="n"/>
      <c r="BG491" s="21" t="n"/>
      <c r="BH491" s="22">
        <f>IFERROR(IF(AND(BF491&lt;&gt;"",BG491&lt;&gt;""),AVERAGE(BF491,BG491),""),"—")</f>
        <v/>
      </c>
      <c r="BK491" s="21" t="n"/>
      <c r="BM491" s="21" t="n"/>
      <c r="BN491" s="28">
        <f>IFERROR(IF(AND(BK491&lt;&gt;"",BM491&lt;&gt;""),IF(BM491&lt;BK491,1,0),""),"")</f>
        <v/>
      </c>
      <c r="BP491" s="21" t="n"/>
      <c r="BS491" s="29">
        <f>IFERROR(IF(AND(BH491&lt;&gt;"",BK491&lt;&gt;""),(BH491-BK491)/BK491,""),"—")</f>
        <v/>
      </c>
      <c r="BT491" s="29">
        <f>IFERROR(IF(AND(BH491&lt;&gt;"",BP491&lt;&gt;""),(BH491-BP491)/BP491,""),"—")</f>
        <v/>
      </c>
      <c r="BU491" s="29">
        <f>IFERROR(IF(AND(BK491&lt;&gt;"",BP491&lt;&gt;""),(BP491-BK491)/BK491,""),"—")</f>
        <v/>
      </c>
    </row>
    <row r="492">
      <c r="AK492" s="14">
        <f>IFERROR(IF(AND(AG492&lt;&gt;"",AH492&lt;&gt;""),AG492*AH492,IF(AI492&lt;&gt;"",AI492,IF(AJ492&lt;&gt;"",AJ492*43560,""))),"ERROR")</f>
        <v/>
      </c>
      <c r="AL492" s="15">
        <f>IFERROR(IF(AK492&lt;&gt;"",AK492/43560,""),"—")</f>
        <v/>
      </c>
      <c r="AN492" s="14">
        <f>IFERROR(IF(AL492="","",IF(AL492&lt;2,"Residential (&lt;2ac)",IF(AL492&lt;10,"Small Rural (2-10ac)",IF(AL492&lt;40,"Rural (10-40ac)",IF(AL492&lt;100,"Farm/Estate (40-100ac)","Large Farm (100+ac)"))))),"—")</f>
        <v/>
      </c>
      <c r="AZ492" s="21" t="n"/>
      <c r="BF492" s="21" t="n"/>
      <c r="BG492" s="21" t="n"/>
      <c r="BH492" s="22">
        <f>IFERROR(IF(AND(BF492&lt;&gt;"",BG492&lt;&gt;""),AVERAGE(BF492,BG492),""),"—")</f>
        <v/>
      </c>
      <c r="BK492" s="21" t="n"/>
      <c r="BM492" s="21" t="n"/>
      <c r="BN492" s="28">
        <f>IFERROR(IF(AND(BK492&lt;&gt;"",BM492&lt;&gt;""),IF(BM492&lt;BK492,1,0),""),"")</f>
        <v/>
      </c>
      <c r="BP492" s="21" t="n"/>
      <c r="BS492" s="29">
        <f>IFERROR(IF(AND(BH492&lt;&gt;"",BK492&lt;&gt;""),(BH492-BK492)/BK492,""),"—")</f>
        <v/>
      </c>
      <c r="BT492" s="29">
        <f>IFERROR(IF(AND(BH492&lt;&gt;"",BP492&lt;&gt;""),(BH492-BP492)/BP492,""),"—")</f>
        <v/>
      </c>
      <c r="BU492" s="29">
        <f>IFERROR(IF(AND(BK492&lt;&gt;"",BP492&lt;&gt;""),(BP492-BK492)/BK492,""),"—")</f>
        <v/>
      </c>
    </row>
    <row r="493">
      <c r="AK493" s="14">
        <f>IFERROR(IF(AND(AG493&lt;&gt;"",AH493&lt;&gt;""),AG493*AH493,IF(AI493&lt;&gt;"",AI493,IF(AJ493&lt;&gt;"",AJ493*43560,""))),"ERROR")</f>
        <v/>
      </c>
      <c r="AL493" s="15">
        <f>IFERROR(IF(AK493&lt;&gt;"",AK493/43560,""),"—")</f>
        <v/>
      </c>
      <c r="AN493" s="14">
        <f>IFERROR(IF(AL493="","",IF(AL493&lt;2,"Residential (&lt;2ac)",IF(AL493&lt;10,"Small Rural (2-10ac)",IF(AL493&lt;40,"Rural (10-40ac)",IF(AL493&lt;100,"Farm/Estate (40-100ac)","Large Farm (100+ac)"))))),"—")</f>
        <v/>
      </c>
      <c r="AZ493" s="21" t="n"/>
      <c r="BF493" s="21" t="n"/>
      <c r="BG493" s="21" t="n"/>
      <c r="BH493" s="22">
        <f>IFERROR(IF(AND(BF493&lt;&gt;"",BG493&lt;&gt;""),AVERAGE(BF493,BG493),""),"—")</f>
        <v/>
      </c>
      <c r="BK493" s="21" t="n"/>
      <c r="BM493" s="21" t="n"/>
      <c r="BN493" s="28">
        <f>IFERROR(IF(AND(BK493&lt;&gt;"",BM493&lt;&gt;""),IF(BM493&lt;BK493,1,0),""),"")</f>
        <v/>
      </c>
      <c r="BP493" s="21" t="n"/>
      <c r="BS493" s="29">
        <f>IFERROR(IF(AND(BH493&lt;&gt;"",BK493&lt;&gt;""),(BH493-BK493)/BK493,""),"—")</f>
        <v/>
      </c>
      <c r="BT493" s="29">
        <f>IFERROR(IF(AND(BH493&lt;&gt;"",BP493&lt;&gt;""),(BH493-BP493)/BP493,""),"—")</f>
        <v/>
      </c>
      <c r="BU493" s="29">
        <f>IFERROR(IF(AND(BK493&lt;&gt;"",BP493&lt;&gt;""),(BP493-BK493)/BK493,""),"—")</f>
        <v/>
      </c>
    </row>
    <row r="494">
      <c r="AK494" s="14">
        <f>IFERROR(IF(AND(AG494&lt;&gt;"",AH494&lt;&gt;""),AG494*AH494,IF(AI494&lt;&gt;"",AI494,IF(AJ494&lt;&gt;"",AJ494*43560,""))),"ERROR")</f>
        <v/>
      </c>
      <c r="AL494" s="15">
        <f>IFERROR(IF(AK494&lt;&gt;"",AK494/43560,""),"—")</f>
        <v/>
      </c>
      <c r="AN494" s="14">
        <f>IFERROR(IF(AL494="","",IF(AL494&lt;2,"Residential (&lt;2ac)",IF(AL494&lt;10,"Small Rural (2-10ac)",IF(AL494&lt;40,"Rural (10-40ac)",IF(AL494&lt;100,"Farm/Estate (40-100ac)","Large Farm (100+ac)"))))),"—")</f>
        <v/>
      </c>
      <c r="AZ494" s="21" t="n"/>
      <c r="BF494" s="21" t="n"/>
      <c r="BG494" s="21" t="n"/>
      <c r="BH494" s="22">
        <f>IFERROR(IF(AND(BF494&lt;&gt;"",BG494&lt;&gt;""),AVERAGE(BF494,BG494),""),"—")</f>
        <v/>
      </c>
      <c r="BK494" s="21" t="n"/>
      <c r="BM494" s="21" t="n"/>
      <c r="BN494" s="28">
        <f>IFERROR(IF(AND(BK494&lt;&gt;"",BM494&lt;&gt;""),IF(BM494&lt;BK494,1,0),""),"")</f>
        <v/>
      </c>
      <c r="BP494" s="21" t="n"/>
      <c r="BS494" s="29">
        <f>IFERROR(IF(AND(BH494&lt;&gt;"",BK494&lt;&gt;""),(BH494-BK494)/BK494,""),"—")</f>
        <v/>
      </c>
      <c r="BT494" s="29">
        <f>IFERROR(IF(AND(BH494&lt;&gt;"",BP494&lt;&gt;""),(BH494-BP494)/BP494,""),"—")</f>
        <v/>
      </c>
      <c r="BU494" s="29">
        <f>IFERROR(IF(AND(BK494&lt;&gt;"",BP494&lt;&gt;""),(BP494-BK494)/BK494,""),"—")</f>
        <v/>
      </c>
    </row>
    <row r="495">
      <c r="AK495" s="14">
        <f>IFERROR(IF(AND(AG495&lt;&gt;"",AH495&lt;&gt;""),AG495*AH495,IF(AI495&lt;&gt;"",AI495,IF(AJ495&lt;&gt;"",AJ495*43560,""))),"ERROR")</f>
        <v/>
      </c>
      <c r="AL495" s="15">
        <f>IFERROR(IF(AK495&lt;&gt;"",AK495/43560,""),"—")</f>
        <v/>
      </c>
      <c r="AN495" s="14">
        <f>IFERROR(IF(AL495="","",IF(AL495&lt;2,"Residential (&lt;2ac)",IF(AL495&lt;10,"Small Rural (2-10ac)",IF(AL495&lt;40,"Rural (10-40ac)",IF(AL495&lt;100,"Farm/Estate (40-100ac)","Large Farm (100+ac)"))))),"—")</f>
        <v/>
      </c>
      <c r="AZ495" s="21" t="n"/>
      <c r="BF495" s="21" t="n"/>
      <c r="BG495" s="21" t="n"/>
      <c r="BH495" s="22">
        <f>IFERROR(IF(AND(BF495&lt;&gt;"",BG495&lt;&gt;""),AVERAGE(BF495,BG495),""),"—")</f>
        <v/>
      </c>
      <c r="BK495" s="21" t="n"/>
      <c r="BM495" s="21" t="n"/>
      <c r="BN495" s="28">
        <f>IFERROR(IF(AND(BK495&lt;&gt;"",BM495&lt;&gt;""),IF(BM495&lt;BK495,1,0),""),"")</f>
        <v/>
      </c>
      <c r="BP495" s="21" t="n"/>
      <c r="BS495" s="29">
        <f>IFERROR(IF(AND(BH495&lt;&gt;"",BK495&lt;&gt;""),(BH495-BK495)/BK495,""),"—")</f>
        <v/>
      </c>
      <c r="BT495" s="29">
        <f>IFERROR(IF(AND(BH495&lt;&gt;"",BP495&lt;&gt;""),(BH495-BP495)/BP495,""),"—")</f>
        <v/>
      </c>
      <c r="BU495" s="29">
        <f>IFERROR(IF(AND(BK495&lt;&gt;"",BP495&lt;&gt;""),(BP495-BK495)/BK495,""),"—")</f>
        <v/>
      </c>
    </row>
    <row r="496">
      <c r="AK496" s="14">
        <f>IFERROR(IF(AND(AG496&lt;&gt;"",AH496&lt;&gt;""),AG496*AH496,IF(AI496&lt;&gt;"",AI496,IF(AJ496&lt;&gt;"",AJ496*43560,""))),"ERROR")</f>
        <v/>
      </c>
      <c r="AL496" s="15">
        <f>IFERROR(IF(AK496&lt;&gt;"",AK496/43560,""),"—")</f>
        <v/>
      </c>
      <c r="AN496" s="14">
        <f>IFERROR(IF(AL496="","",IF(AL496&lt;2,"Residential (&lt;2ac)",IF(AL496&lt;10,"Small Rural (2-10ac)",IF(AL496&lt;40,"Rural (10-40ac)",IF(AL496&lt;100,"Farm/Estate (40-100ac)","Large Farm (100+ac)"))))),"—")</f>
        <v/>
      </c>
      <c r="AZ496" s="21" t="n"/>
      <c r="BF496" s="21" t="n"/>
      <c r="BG496" s="21" t="n"/>
      <c r="BH496" s="22">
        <f>IFERROR(IF(AND(BF496&lt;&gt;"",BG496&lt;&gt;""),AVERAGE(BF496,BG496),""),"—")</f>
        <v/>
      </c>
      <c r="BK496" s="21" t="n"/>
      <c r="BM496" s="21" t="n"/>
      <c r="BN496" s="28">
        <f>IFERROR(IF(AND(BK496&lt;&gt;"",BM496&lt;&gt;""),IF(BM496&lt;BK496,1,0),""),"")</f>
        <v/>
      </c>
      <c r="BP496" s="21" t="n"/>
      <c r="BS496" s="29">
        <f>IFERROR(IF(AND(BH496&lt;&gt;"",BK496&lt;&gt;""),(BH496-BK496)/BK496,""),"—")</f>
        <v/>
      </c>
      <c r="BT496" s="29">
        <f>IFERROR(IF(AND(BH496&lt;&gt;"",BP496&lt;&gt;""),(BH496-BP496)/BP496,""),"—")</f>
        <v/>
      </c>
      <c r="BU496" s="29">
        <f>IFERROR(IF(AND(BK496&lt;&gt;"",BP496&lt;&gt;""),(BP496-BK496)/BK496,""),"—")</f>
        <v/>
      </c>
    </row>
    <row r="497">
      <c r="AK497" s="14">
        <f>IFERROR(IF(AND(AG497&lt;&gt;"",AH497&lt;&gt;""),AG497*AH497,IF(AI497&lt;&gt;"",AI497,IF(AJ497&lt;&gt;"",AJ497*43560,""))),"ERROR")</f>
        <v/>
      </c>
      <c r="AL497" s="15">
        <f>IFERROR(IF(AK497&lt;&gt;"",AK497/43560,""),"—")</f>
        <v/>
      </c>
      <c r="AN497" s="14">
        <f>IFERROR(IF(AL497="","",IF(AL497&lt;2,"Residential (&lt;2ac)",IF(AL497&lt;10,"Small Rural (2-10ac)",IF(AL497&lt;40,"Rural (10-40ac)",IF(AL497&lt;100,"Farm/Estate (40-100ac)","Large Farm (100+ac)"))))),"—")</f>
        <v/>
      </c>
      <c r="AZ497" s="21" t="n"/>
      <c r="BF497" s="21" t="n"/>
      <c r="BG497" s="21" t="n"/>
      <c r="BH497" s="22">
        <f>IFERROR(IF(AND(BF497&lt;&gt;"",BG497&lt;&gt;""),AVERAGE(BF497,BG497),""),"—")</f>
        <v/>
      </c>
      <c r="BK497" s="21" t="n"/>
      <c r="BM497" s="21" t="n"/>
      <c r="BN497" s="28">
        <f>IFERROR(IF(AND(BK497&lt;&gt;"",BM497&lt;&gt;""),IF(BM497&lt;BK497,1,0),""),"")</f>
        <v/>
      </c>
      <c r="BP497" s="21" t="n"/>
      <c r="BS497" s="29">
        <f>IFERROR(IF(AND(BH497&lt;&gt;"",BK497&lt;&gt;""),(BH497-BK497)/BK497,""),"—")</f>
        <v/>
      </c>
      <c r="BT497" s="29">
        <f>IFERROR(IF(AND(BH497&lt;&gt;"",BP497&lt;&gt;""),(BH497-BP497)/BP497,""),"—")</f>
        <v/>
      </c>
      <c r="BU497" s="29">
        <f>IFERROR(IF(AND(BK497&lt;&gt;"",BP497&lt;&gt;""),(BP497-BK497)/BK497,""),"—")</f>
        <v/>
      </c>
    </row>
    <row r="498">
      <c r="AK498" s="14">
        <f>IFERROR(IF(AND(AG498&lt;&gt;"",AH498&lt;&gt;""),AG498*AH498,IF(AI498&lt;&gt;"",AI498,IF(AJ498&lt;&gt;"",AJ498*43560,""))),"ERROR")</f>
        <v/>
      </c>
      <c r="AL498" s="15">
        <f>IFERROR(IF(AK498&lt;&gt;"",AK498/43560,""),"—")</f>
        <v/>
      </c>
      <c r="AN498" s="14">
        <f>IFERROR(IF(AL498="","",IF(AL498&lt;2,"Residential (&lt;2ac)",IF(AL498&lt;10,"Small Rural (2-10ac)",IF(AL498&lt;40,"Rural (10-40ac)",IF(AL498&lt;100,"Farm/Estate (40-100ac)","Large Farm (100+ac)"))))),"—")</f>
        <v/>
      </c>
      <c r="AZ498" s="21" t="n"/>
      <c r="BF498" s="21" t="n"/>
      <c r="BG498" s="21" t="n"/>
      <c r="BH498" s="22">
        <f>IFERROR(IF(AND(BF498&lt;&gt;"",BG498&lt;&gt;""),AVERAGE(BF498,BG498),""),"—")</f>
        <v/>
      </c>
      <c r="BK498" s="21" t="n"/>
      <c r="BM498" s="21" t="n"/>
      <c r="BN498" s="28">
        <f>IFERROR(IF(AND(BK498&lt;&gt;"",BM498&lt;&gt;""),IF(BM498&lt;BK498,1,0),""),"")</f>
        <v/>
      </c>
      <c r="BP498" s="21" t="n"/>
      <c r="BS498" s="29">
        <f>IFERROR(IF(AND(BH498&lt;&gt;"",BK498&lt;&gt;""),(BH498-BK498)/BK498,""),"—")</f>
        <v/>
      </c>
      <c r="BT498" s="29">
        <f>IFERROR(IF(AND(BH498&lt;&gt;"",BP498&lt;&gt;""),(BH498-BP498)/BP498,""),"—")</f>
        <v/>
      </c>
      <c r="BU498" s="29">
        <f>IFERROR(IF(AND(BK498&lt;&gt;"",BP498&lt;&gt;""),(BP498-BK498)/BK498,""),"—")</f>
        <v/>
      </c>
    </row>
    <row r="499">
      <c r="AK499" s="14">
        <f>IFERROR(IF(AND(AG499&lt;&gt;"",AH499&lt;&gt;""),AG499*AH499,IF(AI499&lt;&gt;"",AI499,IF(AJ499&lt;&gt;"",AJ499*43560,""))),"ERROR")</f>
        <v/>
      </c>
      <c r="AL499" s="15">
        <f>IFERROR(IF(AK499&lt;&gt;"",AK499/43560,""),"—")</f>
        <v/>
      </c>
      <c r="AN499" s="14">
        <f>IFERROR(IF(AL499="","",IF(AL499&lt;2,"Residential (&lt;2ac)",IF(AL499&lt;10,"Small Rural (2-10ac)",IF(AL499&lt;40,"Rural (10-40ac)",IF(AL499&lt;100,"Farm/Estate (40-100ac)","Large Farm (100+ac)"))))),"—")</f>
        <v/>
      </c>
      <c r="AZ499" s="21" t="n"/>
      <c r="BF499" s="21" t="n"/>
      <c r="BG499" s="21" t="n"/>
      <c r="BH499" s="22">
        <f>IFERROR(IF(AND(BF499&lt;&gt;"",BG499&lt;&gt;""),AVERAGE(BF499,BG499),""),"—")</f>
        <v/>
      </c>
      <c r="BK499" s="21" t="n"/>
      <c r="BM499" s="21" t="n"/>
      <c r="BN499" s="28">
        <f>IFERROR(IF(AND(BK499&lt;&gt;"",BM499&lt;&gt;""),IF(BM499&lt;BK499,1,0),""),"")</f>
        <v/>
      </c>
      <c r="BP499" s="21" t="n"/>
      <c r="BS499" s="29">
        <f>IFERROR(IF(AND(BH499&lt;&gt;"",BK499&lt;&gt;""),(BH499-BK499)/BK499,""),"—")</f>
        <v/>
      </c>
      <c r="BT499" s="29">
        <f>IFERROR(IF(AND(BH499&lt;&gt;"",BP499&lt;&gt;""),(BH499-BP499)/BP499,""),"—")</f>
        <v/>
      </c>
      <c r="BU499" s="29">
        <f>IFERROR(IF(AND(BK499&lt;&gt;"",BP499&lt;&gt;""),(BP499-BK499)/BK499,""),"—")</f>
        <v/>
      </c>
    </row>
    <row r="500">
      <c r="AK500" s="14">
        <f>IFERROR(IF(AND(AG500&lt;&gt;"",AH500&lt;&gt;""),AG500*AH500,IF(AI500&lt;&gt;"",AI500,IF(AJ500&lt;&gt;"",AJ500*43560,""))),"ERROR")</f>
        <v/>
      </c>
      <c r="AL500" s="15">
        <f>IFERROR(IF(AK500&lt;&gt;"",AK500/43560,""),"—")</f>
        <v/>
      </c>
      <c r="AN500" s="14">
        <f>IFERROR(IF(AL500="","",IF(AL500&lt;2,"Residential (&lt;2ac)",IF(AL500&lt;10,"Small Rural (2-10ac)",IF(AL500&lt;40,"Rural (10-40ac)",IF(AL500&lt;100,"Farm/Estate (40-100ac)","Large Farm (100+ac)"))))),"—")</f>
        <v/>
      </c>
      <c r="AZ500" s="21" t="n"/>
      <c r="BF500" s="21" t="n"/>
      <c r="BG500" s="21" t="n"/>
      <c r="BH500" s="22">
        <f>IFERROR(IF(AND(BF500&lt;&gt;"",BG500&lt;&gt;""),AVERAGE(BF500,BG500),""),"—")</f>
        <v/>
      </c>
      <c r="BK500" s="21" t="n"/>
      <c r="BM500" s="21" t="n"/>
      <c r="BN500" s="28">
        <f>IFERROR(IF(AND(BK500&lt;&gt;"",BM500&lt;&gt;""),IF(BM500&lt;BK500,1,0),""),"")</f>
        <v/>
      </c>
      <c r="BP500" s="21" t="n"/>
      <c r="BS500" s="29">
        <f>IFERROR(IF(AND(BH500&lt;&gt;"",BK500&lt;&gt;""),(BH500-BK500)/BK500,""),"—")</f>
        <v/>
      </c>
      <c r="BT500" s="29">
        <f>IFERROR(IF(AND(BH500&lt;&gt;"",BP500&lt;&gt;""),(BH500-BP500)/BP500,""),"—")</f>
        <v/>
      </c>
      <c r="BU500" s="29">
        <f>IFERROR(IF(AND(BK500&lt;&gt;"",BP500&lt;&gt;""),(BP500-BK500)/BK500,""),"—")</f>
        <v/>
      </c>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tabColor rgb="00D5E8F4"/>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tabColor rgb="00FCE4D6"/>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tabColor rgb="00E2EFDA"/>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29">
        <f>IFERROR(Z7/X7,"")</f>
        <v/>
      </c>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29">
        <f>IFERROR(Z9/X9,"")</f>
        <v/>
      </c>
    </row>
    <row r="10">
      <c r="W10" s="21" t="n"/>
      <c r="X10" s="21" t="n"/>
      <c r="Z10" s="21" t="n"/>
      <c r="AA10" s="29">
        <f>IFERROR(Z10/X10,"")</f>
        <v/>
      </c>
    </row>
    <row r="11">
      <c r="W11" s="21" t="n"/>
      <c r="X11" s="21" t="n"/>
      <c r="Z11" s="21" t="n"/>
      <c r="AA11" s="29">
        <f>IFERROR(Z11/X11,"")</f>
        <v/>
      </c>
    </row>
    <row r="12">
      <c r="W12" s="21" t="n"/>
      <c r="X12" s="21" t="n"/>
      <c r="Z12" s="21" t="n"/>
      <c r="AA12" s="29">
        <f>IFERROR(Z12/X12,"")</f>
        <v/>
      </c>
    </row>
    <row r="13">
      <c r="W13" s="21" t="n"/>
      <c r="X13" s="21" t="n"/>
      <c r="Z13" s="21" t="n"/>
      <c r="AA13" s="29">
        <f>IFERROR(Z13/X13,"")</f>
        <v/>
      </c>
    </row>
    <row r="14">
      <c r="W14" s="21" t="n"/>
      <c r="X14" s="21" t="n"/>
      <c r="Z14" s="21" t="n"/>
      <c r="AA14" s="29">
        <f>IFERROR(Z14/X14,"")</f>
        <v/>
      </c>
    </row>
    <row r="15">
      <c r="W15" s="21" t="n"/>
      <c r="X15" s="21" t="n"/>
      <c r="Z15" s="21" t="n"/>
      <c r="AA15" s="29">
        <f>IFERROR(Z15/X15,"")</f>
        <v/>
      </c>
    </row>
    <row r="16">
      <c r="W16" s="21" t="n"/>
      <c r="X16" s="21" t="n"/>
      <c r="Z16" s="21" t="n"/>
      <c r="AA16" s="29">
        <f>IFERROR(Z16/X16,"")</f>
        <v/>
      </c>
    </row>
    <row r="17">
      <c r="W17" s="21" t="n"/>
      <c r="X17" s="21" t="n"/>
      <c r="Z17" s="21" t="n"/>
      <c r="AA17" s="29">
        <f>IFERROR(Z17/X17,"")</f>
        <v/>
      </c>
    </row>
    <row r="18">
      <c r="W18" s="21" t="n"/>
      <c r="X18" s="21" t="n"/>
      <c r="Z18" s="21" t="n"/>
      <c r="AA18" s="29">
        <f>IFERROR(Z18/X18,"")</f>
        <v/>
      </c>
    </row>
    <row r="19">
      <c r="W19" s="21" t="n"/>
      <c r="X19" s="21" t="n"/>
      <c r="Z19" s="21" t="n"/>
      <c r="AA19" s="29">
        <f>IFERROR(Z19/X19,"")</f>
        <v/>
      </c>
    </row>
    <row r="20">
      <c r="W20" s="21" t="n"/>
      <c r="X20" s="21" t="n"/>
      <c r="Z20" s="21" t="n"/>
      <c r="AA20" s="29">
        <f>IFERROR(Z20/X20,"")</f>
        <v/>
      </c>
    </row>
    <row r="21">
      <c r="W21" s="21" t="n"/>
      <c r="X21" s="21" t="n"/>
      <c r="Z21" s="21" t="n"/>
      <c r="AA21" s="29">
        <f>IFERROR(Z21/X21,"")</f>
        <v/>
      </c>
    </row>
    <row r="22">
      <c r="W22" s="21" t="n"/>
      <c r="X22" s="21" t="n"/>
      <c r="Z22" s="21" t="n"/>
      <c r="AA22" s="29">
        <f>IFERROR(Z22/X22,"")</f>
        <v/>
      </c>
    </row>
    <row r="23">
      <c r="W23" s="21" t="n"/>
      <c r="X23" s="21" t="n"/>
      <c r="Z23" s="21" t="n"/>
      <c r="AA23" s="29">
        <f>IFERROR(Z23/X23,"")</f>
        <v/>
      </c>
    </row>
    <row r="24">
      <c r="W24" s="21" t="n"/>
      <c r="X24" s="21" t="n"/>
      <c r="Z24" s="21" t="n"/>
      <c r="AA24" s="29">
        <f>IFERROR(Z24/X24,"")</f>
        <v/>
      </c>
    </row>
    <row r="25">
      <c r="W25" s="21" t="n"/>
      <c r="X25" s="21" t="n"/>
      <c r="Z25" s="21" t="n"/>
      <c r="AA25" s="29">
        <f>IFERROR(Z25/X25,"")</f>
        <v/>
      </c>
    </row>
    <row r="26">
      <c r="W26" s="21" t="n"/>
      <c r="X26" s="21" t="n"/>
      <c r="Z26" s="21" t="n"/>
      <c r="AA26" s="29">
        <f>IFERROR(Z26/X26,"")</f>
        <v/>
      </c>
    </row>
    <row r="27">
      <c r="W27" s="21" t="n"/>
      <c r="X27" s="21" t="n"/>
      <c r="Z27" s="21" t="n"/>
      <c r="AA27" s="29">
        <f>IFERROR(Z27/X27,"")</f>
        <v/>
      </c>
    </row>
    <row r="28">
      <c r="W28" s="21" t="n"/>
      <c r="X28" s="21" t="n"/>
      <c r="Z28" s="21" t="n"/>
      <c r="AA28" s="29">
        <f>IFERROR(Z28/X28,"")</f>
        <v/>
      </c>
    </row>
    <row r="29">
      <c r="W29" s="21" t="n"/>
      <c r="X29" s="21" t="n"/>
      <c r="Z29" s="21" t="n"/>
      <c r="AA29" s="29">
        <f>IFERROR(Z29/X29,"")</f>
        <v/>
      </c>
    </row>
    <row r="30">
      <c r="W30" s="21" t="n"/>
      <c r="X30" s="21" t="n"/>
      <c r="Z30" s="21" t="n"/>
      <c r="AA30" s="29">
        <f>IFERROR(Z30/X30,"")</f>
        <v/>
      </c>
    </row>
    <row r="31">
      <c r="W31" s="21" t="n"/>
      <c r="X31" s="21" t="n"/>
      <c r="Z31" s="21" t="n"/>
      <c r="AA31" s="29">
        <f>IFERROR(Z31/X31,"")</f>
        <v/>
      </c>
    </row>
    <row r="32">
      <c r="W32" s="21" t="n"/>
      <c r="X32" s="21" t="n"/>
      <c r="Z32" s="21" t="n"/>
      <c r="AA32" s="29">
        <f>IFERROR(Z32/X32,"")</f>
        <v/>
      </c>
    </row>
    <row r="33">
      <c r="W33" s="21" t="n"/>
      <c r="X33" s="21" t="n"/>
      <c r="Z33" s="21" t="n"/>
      <c r="AA33" s="29">
        <f>IFERROR(Z33/X33,"")</f>
        <v/>
      </c>
    </row>
    <row r="34">
      <c r="W34" s="21" t="n"/>
      <c r="X34" s="21" t="n"/>
      <c r="Z34" s="21" t="n"/>
      <c r="AA34" s="29">
        <f>IFERROR(Z34/X34,"")</f>
        <v/>
      </c>
    </row>
    <row r="35">
      <c r="W35" s="21" t="n"/>
      <c r="X35" s="21" t="n"/>
      <c r="Z35" s="21" t="n"/>
      <c r="AA35" s="29">
        <f>IFERROR(Z35/X35,"")</f>
        <v/>
      </c>
    </row>
    <row r="36">
      <c r="W36" s="21" t="n"/>
      <c r="X36" s="21" t="n"/>
      <c r="Z36" s="21" t="n"/>
      <c r="AA36" s="29">
        <f>IFERROR(Z36/X36,"")</f>
        <v/>
      </c>
    </row>
    <row r="37">
      <c r="W37" s="21" t="n"/>
      <c r="X37" s="21" t="n"/>
      <c r="Z37" s="21" t="n"/>
      <c r="AA37" s="29">
        <f>IFERROR(Z37/X37,"")</f>
        <v/>
      </c>
    </row>
    <row r="38">
      <c r="W38" s="21" t="n"/>
      <c r="X38" s="21" t="n"/>
      <c r="Z38" s="21" t="n"/>
      <c r="AA38" s="29">
        <f>IFERROR(Z38/X38,"")</f>
        <v/>
      </c>
    </row>
    <row r="39">
      <c r="W39" s="21" t="n"/>
      <c r="X39" s="21" t="n"/>
      <c r="Z39" s="21" t="n"/>
      <c r="AA39" s="29">
        <f>IFERROR(Z39/X39,"")</f>
        <v/>
      </c>
    </row>
    <row r="40">
      <c r="W40" s="21" t="n"/>
      <c r="X40" s="21" t="n"/>
      <c r="Z40" s="21" t="n"/>
      <c r="AA40" s="29">
        <f>IFERROR(Z40/X40,"")</f>
        <v/>
      </c>
    </row>
    <row r="41">
      <c r="W41" s="21" t="n"/>
      <c r="X41" s="21" t="n"/>
      <c r="Z41" s="21" t="n"/>
      <c r="AA41" s="29">
        <f>IFERROR(Z41/X41,"")</f>
        <v/>
      </c>
    </row>
    <row r="42">
      <c r="W42" s="21" t="n"/>
      <c r="X42" s="21" t="n"/>
      <c r="Z42" s="21" t="n"/>
      <c r="AA42" s="29">
        <f>IFERROR(Z42/X42,"")</f>
        <v/>
      </c>
    </row>
    <row r="43">
      <c r="W43" s="21" t="n"/>
      <c r="X43" s="21" t="n"/>
      <c r="Z43" s="21" t="n"/>
      <c r="AA43" s="29">
        <f>IFERROR(Z43/X43,"")</f>
        <v/>
      </c>
    </row>
    <row r="44">
      <c r="W44" s="21" t="n"/>
      <c r="X44" s="21" t="n"/>
      <c r="Z44" s="21" t="n"/>
      <c r="AA44" s="29">
        <f>IFERROR(Z44/X44,"")</f>
        <v/>
      </c>
    </row>
    <row r="45">
      <c r="W45" s="21" t="n"/>
      <c r="X45" s="21" t="n"/>
      <c r="Z45" s="21" t="n"/>
      <c r="AA45" s="29">
        <f>IFERROR(Z45/X45,"")</f>
        <v/>
      </c>
    </row>
    <row r="46">
      <c r="W46" s="21" t="n"/>
      <c r="X46" s="21" t="n"/>
      <c r="Z46" s="21" t="n"/>
      <c r="AA46" s="29">
        <f>IFERROR(Z46/X46,"")</f>
        <v/>
      </c>
    </row>
    <row r="47">
      <c r="W47" s="21" t="n"/>
      <c r="X47" s="21" t="n"/>
      <c r="Z47" s="21" t="n"/>
      <c r="AA47" s="29">
        <f>IFERROR(Z47/X47,"")</f>
        <v/>
      </c>
    </row>
    <row r="48">
      <c r="W48" s="21" t="n"/>
      <c r="X48" s="21" t="n"/>
      <c r="Z48" s="21" t="n"/>
      <c r="AA48" s="29">
        <f>IFERROR(Z48/X48,"")</f>
        <v/>
      </c>
    </row>
    <row r="49">
      <c r="W49" s="21" t="n"/>
      <c r="X49" s="21" t="n"/>
      <c r="Z49" s="21" t="n"/>
      <c r="AA49" s="29">
        <f>IFERROR(Z49/X49,"")</f>
        <v/>
      </c>
    </row>
    <row r="50">
      <c r="W50" s="21" t="n"/>
      <c r="X50" s="21" t="n"/>
      <c r="Z50" s="21" t="n"/>
      <c r="AA50" s="29">
        <f>IFERROR(Z50/X50,"")</f>
        <v/>
      </c>
    </row>
    <row r="51">
      <c r="W51" s="21" t="n"/>
      <c r="X51" s="21" t="n"/>
      <c r="Z51" s="21" t="n"/>
      <c r="AA51" s="29">
        <f>IFERROR(Z51/X51,"")</f>
        <v/>
      </c>
    </row>
    <row r="52">
      <c r="W52" s="21" t="n"/>
      <c r="X52" s="21" t="n"/>
      <c r="Z52" s="21" t="n"/>
      <c r="AA52" s="29">
        <f>IFERROR(Z52/X52,"")</f>
        <v/>
      </c>
    </row>
    <row r="53">
      <c r="W53" s="21" t="n"/>
      <c r="X53" s="21" t="n"/>
      <c r="Z53" s="21" t="n"/>
      <c r="AA53" s="29">
        <f>IFERROR(Z53/X53,"")</f>
        <v/>
      </c>
    </row>
    <row r="54">
      <c r="W54" s="21" t="n"/>
      <c r="X54" s="21" t="n"/>
      <c r="Z54" s="21" t="n"/>
      <c r="AA54" s="29">
        <f>IFERROR(Z54/X54,"")</f>
        <v/>
      </c>
    </row>
    <row r="55">
      <c r="W55" s="21" t="n"/>
      <c r="X55" s="21" t="n"/>
      <c r="Z55" s="21" t="n"/>
      <c r="AA55" s="29">
        <f>IFERROR(Z55/X55,"")</f>
        <v/>
      </c>
    </row>
    <row r="56">
      <c r="W56" s="21" t="n"/>
      <c r="X56" s="21" t="n"/>
      <c r="Z56" s="21" t="n"/>
      <c r="AA56" s="29">
        <f>IFERROR(Z56/X56,"")</f>
        <v/>
      </c>
    </row>
    <row r="57">
      <c r="W57" s="21" t="n"/>
      <c r="X57" s="21" t="n"/>
      <c r="Z57" s="21" t="n"/>
      <c r="AA57" s="29">
        <f>IFERROR(Z57/X57,"")</f>
        <v/>
      </c>
    </row>
    <row r="58">
      <c r="W58" s="21" t="n"/>
      <c r="X58" s="21" t="n"/>
      <c r="Z58" s="21" t="n"/>
      <c r="AA58" s="29">
        <f>IFERROR(Z58/X58,"")</f>
        <v/>
      </c>
    </row>
    <row r="59">
      <c r="W59" s="21" t="n"/>
      <c r="X59" s="21" t="n"/>
      <c r="Z59" s="21" t="n"/>
      <c r="AA59" s="29">
        <f>IFERROR(Z59/X59,"")</f>
        <v/>
      </c>
    </row>
    <row r="60">
      <c r="W60" s="21" t="n"/>
      <c r="X60" s="21" t="n"/>
      <c r="Z60" s="21" t="n"/>
      <c r="AA60" s="29">
        <f>IFERROR(Z60/X60,"")</f>
        <v/>
      </c>
    </row>
    <row r="61">
      <c r="W61" s="21" t="n"/>
      <c r="X61" s="21" t="n"/>
      <c r="Z61" s="21" t="n"/>
      <c r="AA61" s="29">
        <f>IFERROR(Z61/X61,"")</f>
        <v/>
      </c>
    </row>
    <row r="62">
      <c r="W62" s="21" t="n"/>
      <c r="X62" s="21" t="n"/>
      <c r="Z62" s="21" t="n"/>
      <c r="AA62" s="29">
        <f>IFERROR(Z62/X62,"")</f>
        <v/>
      </c>
    </row>
    <row r="63">
      <c r="W63" s="21" t="n"/>
      <c r="X63" s="21" t="n"/>
      <c r="Z63" s="21" t="n"/>
      <c r="AA63" s="29">
        <f>IFERROR(Z63/X63,"")</f>
        <v/>
      </c>
    </row>
    <row r="64">
      <c r="W64" s="21" t="n"/>
      <c r="X64" s="21" t="n"/>
      <c r="Z64" s="21" t="n"/>
      <c r="AA64" s="29">
        <f>IFERROR(Z64/X64,"")</f>
        <v/>
      </c>
    </row>
    <row r="65">
      <c r="W65" s="21" t="n"/>
      <c r="X65" s="21" t="n"/>
      <c r="Z65" s="21" t="n"/>
      <c r="AA65" s="29">
        <f>IFERROR(Z65/X65,"")</f>
        <v/>
      </c>
    </row>
    <row r="66">
      <c r="W66" s="21" t="n"/>
      <c r="X66" s="21" t="n"/>
      <c r="Z66" s="21" t="n"/>
      <c r="AA66" s="29">
        <f>IFERROR(Z66/X66,"")</f>
        <v/>
      </c>
    </row>
    <row r="67">
      <c r="W67" s="21" t="n"/>
      <c r="X67" s="21" t="n"/>
      <c r="Z67" s="21" t="n"/>
      <c r="AA67" s="29">
        <f>IFERROR(Z67/X67,"")</f>
        <v/>
      </c>
    </row>
    <row r="68">
      <c r="W68" s="21" t="n"/>
      <c r="X68" s="21" t="n"/>
      <c r="Z68" s="21" t="n"/>
      <c r="AA68" s="29">
        <f>IFERROR(Z68/X68,"")</f>
        <v/>
      </c>
    </row>
    <row r="69">
      <c r="W69" s="21" t="n"/>
      <c r="X69" s="21" t="n"/>
      <c r="Z69" s="21" t="n"/>
      <c r="AA69" s="29">
        <f>IFERROR(Z69/X69,"")</f>
        <v/>
      </c>
    </row>
    <row r="70">
      <c r="W70" s="21" t="n"/>
      <c r="X70" s="21" t="n"/>
      <c r="Z70" s="21" t="n"/>
      <c r="AA70" s="29">
        <f>IFERROR(Z70/X70,"")</f>
        <v/>
      </c>
    </row>
    <row r="71">
      <c r="W71" s="21" t="n"/>
      <c r="X71" s="21" t="n"/>
      <c r="Z71" s="21" t="n"/>
      <c r="AA71" s="29">
        <f>IFERROR(Z71/X71,"")</f>
        <v/>
      </c>
    </row>
    <row r="72">
      <c r="W72" s="21" t="n"/>
      <c r="X72" s="21" t="n"/>
      <c r="Z72" s="21" t="n"/>
      <c r="AA72" s="29">
        <f>IFERROR(Z72/X72,"")</f>
        <v/>
      </c>
    </row>
    <row r="73">
      <c r="W73" s="21" t="n"/>
      <c r="X73" s="21" t="n"/>
      <c r="Z73" s="21" t="n"/>
      <c r="AA73" s="29">
        <f>IFERROR(Z73/X73,"")</f>
        <v/>
      </c>
    </row>
    <row r="74">
      <c r="W74" s="21" t="n"/>
      <c r="X74" s="21" t="n"/>
      <c r="Z74" s="21" t="n"/>
      <c r="AA74" s="29">
        <f>IFERROR(Z74/X74,"")</f>
        <v/>
      </c>
    </row>
    <row r="75">
      <c r="W75" s="21" t="n"/>
      <c r="X75" s="21" t="n"/>
      <c r="Z75" s="21" t="n"/>
      <c r="AA75" s="29">
        <f>IFERROR(Z75/X75,"")</f>
        <v/>
      </c>
    </row>
    <row r="76">
      <c r="W76" s="21" t="n"/>
      <c r="X76" s="21" t="n"/>
      <c r="Z76" s="21" t="n"/>
      <c r="AA76" s="29">
        <f>IFERROR(Z76/X76,"")</f>
        <v/>
      </c>
    </row>
    <row r="77">
      <c r="W77" s="21" t="n"/>
      <c r="X77" s="21" t="n"/>
      <c r="Z77" s="21" t="n"/>
      <c r="AA77" s="29">
        <f>IFERROR(Z77/X77,"")</f>
        <v/>
      </c>
    </row>
    <row r="78">
      <c r="W78" s="21" t="n"/>
      <c r="X78" s="21" t="n"/>
      <c r="Z78" s="21" t="n"/>
      <c r="AA78" s="29">
        <f>IFERROR(Z78/X78,"")</f>
        <v/>
      </c>
    </row>
    <row r="79">
      <c r="W79" s="21" t="n"/>
      <c r="X79" s="21" t="n"/>
      <c r="Z79" s="21" t="n"/>
      <c r="AA79" s="29">
        <f>IFERROR(Z79/X79,"")</f>
        <v/>
      </c>
    </row>
    <row r="80">
      <c r="W80" s="21" t="n"/>
      <c r="X80" s="21" t="n"/>
      <c r="Z80" s="21" t="n"/>
      <c r="AA80" s="29">
        <f>IFERROR(Z80/X80,"")</f>
        <v/>
      </c>
    </row>
    <row r="81">
      <c r="W81" s="21" t="n"/>
      <c r="X81" s="21" t="n"/>
      <c r="Z81" s="21" t="n"/>
      <c r="AA81" s="29">
        <f>IFERROR(Z81/X81,"")</f>
        <v/>
      </c>
    </row>
    <row r="82">
      <c r="W82" s="21" t="n"/>
      <c r="X82" s="21" t="n"/>
      <c r="Z82" s="21" t="n"/>
      <c r="AA82" s="29">
        <f>IFERROR(Z82/X82,"")</f>
        <v/>
      </c>
    </row>
    <row r="83">
      <c r="W83" s="21" t="n"/>
      <c r="X83" s="21" t="n"/>
      <c r="Z83" s="21" t="n"/>
      <c r="AA83" s="29">
        <f>IFERROR(Z83/X83,"")</f>
        <v/>
      </c>
    </row>
    <row r="84">
      <c r="W84" s="21" t="n"/>
      <c r="X84" s="21" t="n"/>
      <c r="Z84" s="21" t="n"/>
      <c r="AA84" s="29">
        <f>IFERROR(Z84/X84,"")</f>
        <v/>
      </c>
    </row>
    <row r="85">
      <c r="W85" s="21" t="n"/>
      <c r="X85" s="21" t="n"/>
      <c r="Z85" s="21" t="n"/>
      <c r="AA85" s="29">
        <f>IFERROR(Z85/X85,"")</f>
        <v/>
      </c>
    </row>
    <row r="86">
      <c r="W86" s="21" t="n"/>
      <c r="X86" s="21" t="n"/>
      <c r="Z86" s="21" t="n"/>
      <c r="AA86" s="29">
        <f>IFERROR(Z86/X86,"")</f>
        <v/>
      </c>
    </row>
    <row r="87">
      <c r="W87" s="21" t="n"/>
      <c r="X87" s="21" t="n"/>
      <c r="Z87" s="21" t="n"/>
      <c r="AA87" s="29">
        <f>IFERROR(Z87/X87,"")</f>
        <v/>
      </c>
    </row>
    <row r="88">
      <c r="W88" s="21" t="n"/>
      <c r="X88" s="21" t="n"/>
      <c r="Z88" s="21" t="n"/>
      <c r="AA88" s="29">
        <f>IFERROR(Z88/X88,"")</f>
        <v/>
      </c>
    </row>
    <row r="89">
      <c r="W89" s="21" t="n"/>
      <c r="X89" s="21" t="n"/>
      <c r="Z89" s="21" t="n"/>
      <c r="AA89" s="29">
        <f>IFERROR(Z89/X89,"")</f>
        <v/>
      </c>
    </row>
    <row r="90">
      <c r="W90" s="21" t="n"/>
      <c r="X90" s="21" t="n"/>
      <c r="Z90" s="21" t="n"/>
      <c r="AA90" s="29">
        <f>IFERROR(Z90/X90,"")</f>
        <v/>
      </c>
    </row>
    <row r="91">
      <c r="W91" s="21" t="n"/>
      <c r="X91" s="21" t="n"/>
      <c r="Z91" s="21" t="n"/>
      <c r="AA91" s="29">
        <f>IFERROR(Z91/X91,"")</f>
        <v/>
      </c>
    </row>
    <row r="92">
      <c r="W92" s="21" t="n"/>
      <c r="X92" s="21" t="n"/>
      <c r="Z92" s="21" t="n"/>
      <c r="AA92" s="29">
        <f>IFERROR(Z92/X92,"")</f>
        <v/>
      </c>
    </row>
    <row r="93">
      <c r="W93" s="21" t="n"/>
      <c r="X93" s="21" t="n"/>
      <c r="Z93" s="21" t="n"/>
      <c r="AA93" s="29">
        <f>IFERROR(Z93/X93,"")</f>
        <v/>
      </c>
    </row>
    <row r="94">
      <c r="W94" s="21" t="n"/>
      <c r="X94" s="21" t="n"/>
      <c r="Z94" s="21" t="n"/>
      <c r="AA94" s="29">
        <f>IFERROR(Z94/X94,"")</f>
        <v/>
      </c>
    </row>
    <row r="95">
      <c r="W95" s="21" t="n"/>
      <c r="X95" s="21" t="n"/>
      <c r="Z95" s="21" t="n"/>
      <c r="AA95" s="29">
        <f>IFERROR(Z95/X95,"")</f>
        <v/>
      </c>
    </row>
    <row r="96">
      <c r="W96" s="21" t="n"/>
      <c r="X96" s="21" t="n"/>
      <c r="Z96" s="21" t="n"/>
      <c r="AA96" s="29">
        <f>IFERROR(Z96/X96,"")</f>
        <v/>
      </c>
    </row>
    <row r="97">
      <c r="W97" s="21" t="n"/>
      <c r="X97" s="21" t="n"/>
      <c r="Z97" s="21" t="n"/>
      <c r="AA97" s="29">
        <f>IFERROR(Z97/X97,"")</f>
        <v/>
      </c>
    </row>
    <row r="98">
      <c r="W98" s="21" t="n"/>
      <c r="X98" s="21" t="n"/>
      <c r="Z98" s="21" t="n"/>
      <c r="AA98" s="29">
        <f>IFERROR(Z98/X98,"")</f>
        <v/>
      </c>
    </row>
    <row r="99">
      <c r="W99" s="21" t="n"/>
      <c r="X99" s="21" t="n"/>
      <c r="Z99" s="21" t="n"/>
      <c r="AA99" s="29">
        <f>IFERROR(Z99/X99,"")</f>
        <v/>
      </c>
    </row>
    <row r="100">
      <c r="W100" s="21" t="n"/>
      <c r="X100" s="21" t="n"/>
      <c r="Z100" s="21" t="n"/>
      <c r="AA100" s="29">
        <f>IFERROR(Z100/X100,"")</f>
        <v/>
      </c>
    </row>
    <row r="101">
      <c r="W101" s="21" t="n"/>
      <c r="X101" s="21" t="n"/>
      <c r="Z101" s="21" t="n"/>
      <c r="AA101" s="29">
        <f>IFERROR(Z101/X101,"")</f>
        <v/>
      </c>
    </row>
    <row r="102">
      <c r="W102" s="21" t="n"/>
      <c r="X102" s="21" t="n"/>
      <c r="Z102" s="21" t="n"/>
      <c r="AA102" s="29">
        <f>IFERROR(Z102/X102,"")</f>
        <v/>
      </c>
    </row>
    <row r="103">
      <c r="W103" s="21" t="n"/>
      <c r="X103" s="21" t="n"/>
      <c r="Z103" s="21" t="n"/>
      <c r="AA103" s="29">
        <f>IFERROR(Z103/X103,"")</f>
        <v/>
      </c>
    </row>
    <row r="104">
      <c r="W104" s="21" t="n"/>
      <c r="X104" s="21" t="n"/>
      <c r="Z104" s="21" t="n"/>
      <c r="AA104" s="29">
        <f>IFERROR(Z104/X104,"")</f>
        <v/>
      </c>
    </row>
    <row r="105">
      <c r="W105" s="21" t="n"/>
      <c r="X105" s="21" t="n"/>
      <c r="Z105" s="21" t="n"/>
      <c r="AA105" s="29">
        <f>IFERROR(Z105/X105,"")</f>
        <v/>
      </c>
    </row>
    <row r="106">
      <c r="W106" s="21" t="n"/>
      <c r="X106" s="21" t="n"/>
      <c r="Z106" s="21" t="n"/>
      <c r="AA106" s="29">
        <f>IFERROR(Z106/X106,"")</f>
        <v/>
      </c>
    </row>
    <row r="107">
      <c r="W107" s="21" t="n"/>
      <c r="X107" s="21" t="n"/>
      <c r="Z107" s="21" t="n"/>
      <c r="AA107" s="29">
        <f>IFERROR(Z107/X107,"")</f>
        <v/>
      </c>
    </row>
    <row r="108">
      <c r="W108" s="21" t="n"/>
      <c r="X108" s="21" t="n"/>
      <c r="Z108" s="21" t="n"/>
      <c r="AA108" s="29">
        <f>IFERROR(Z108/X108,"")</f>
        <v/>
      </c>
    </row>
    <row r="109">
      <c r="W109" s="21" t="n"/>
      <c r="X109" s="21" t="n"/>
      <c r="Z109" s="21" t="n"/>
      <c r="AA109" s="29">
        <f>IFERROR(Z109/X109,"")</f>
        <v/>
      </c>
    </row>
    <row r="110">
      <c r="W110" s="21" t="n"/>
      <c r="X110" s="21" t="n"/>
      <c r="Z110" s="21" t="n"/>
      <c r="AA110" s="29">
        <f>IFERROR(Z110/X110,"")</f>
        <v/>
      </c>
    </row>
    <row r="111">
      <c r="W111" s="21" t="n"/>
      <c r="X111" s="21" t="n"/>
      <c r="Z111" s="21" t="n"/>
      <c r="AA111" s="29">
        <f>IFERROR(Z111/X111,"")</f>
        <v/>
      </c>
    </row>
    <row r="112">
      <c r="W112" s="21" t="n"/>
      <c r="X112" s="21" t="n"/>
      <c r="Z112" s="21" t="n"/>
      <c r="AA112" s="29">
        <f>IFERROR(Z112/X112,"")</f>
        <v/>
      </c>
    </row>
    <row r="113">
      <c r="W113" s="21" t="n"/>
      <c r="X113" s="21" t="n"/>
      <c r="Z113" s="21" t="n"/>
      <c r="AA113" s="29">
        <f>IFERROR(Z113/X113,"")</f>
        <v/>
      </c>
    </row>
    <row r="114">
      <c r="W114" s="21" t="n"/>
      <c r="X114" s="21" t="n"/>
      <c r="Z114" s="21" t="n"/>
      <c r="AA114" s="29">
        <f>IFERROR(Z114/X114,"")</f>
        <v/>
      </c>
    </row>
    <row r="115">
      <c r="W115" s="21" t="n"/>
      <c r="X115" s="21" t="n"/>
      <c r="Z115" s="21" t="n"/>
      <c r="AA115" s="29">
        <f>IFERROR(Z115/X115,"")</f>
        <v/>
      </c>
    </row>
    <row r="116">
      <c r="W116" s="21" t="n"/>
      <c r="X116" s="21" t="n"/>
      <c r="Z116" s="21" t="n"/>
      <c r="AA116" s="29">
        <f>IFERROR(Z116/X116,"")</f>
        <v/>
      </c>
    </row>
    <row r="117">
      <c r="W117" s="21" t="n"/>
      <c r="X117" s="21" t="n"/>
      <c r="Z117" s="21" t="n"/>
      <c r="AA117" s="29">
        <f>IFERROR(Z117/X117,"")</f>
        <v/>
      </c>
    </row>
    <row r="118">
      <c r="W118" s="21" t="n"/>
      <c r="X118" s="21" t="n"/>
      <c r="Z118" s="21" t="n"/>
      <c r="AA118" s="29">
        <f>IFERROR(Z118/X118,"")</f>
        <v/>
      </c>
    </row>
    <row r="119">
      <c r="W119" s="21" t="n"/>
      <c r="X119" s="21" t="n"/>
      <c r="Z119" s="21" t="n"/>
      <c r="AA119" s="29">
        <f>IFERROR(Z119/X119,"")</f>
        <v/>
      </c>
    </row>
    <row r="120">
      <c r="W120" s="21" t="n"/>
      <c r="X120" s="21" t="n"/>
      <c r="Z120" s="21" t="n"/>
      <c r="AA120" s="29">
        <f>IFERROR(Z120/X120,"")</f>
        <v/>
      </c>
    </row>
    <row r="121">
      <c r="W121" s="21" t="n"/>
      <c r="X121" s="21" t="n"/>
      <c r="Z121" s="21" t="n"/>
      <c r="AA121" s="29">
        <f>IFERROR(Z121/X121,"")</f>
        <v/>
      </c>
    </row>
    <row r="122">
      <c r="W122" s="21" t="n"/>
      <c r="X122" s="21" t="n"/>
      <c r="Z122" s="21" t="n"/>
      <c r="AA122" s="29">
        <f>IFERROR(Z122/X122,"")</f>
        <v/>
      </c>
    </row>
    <row r="123">
      <c r="W123" s="21" t="n"/>
      <c r="X123" s="21" t="n"/>
      <c r="Z123" s="21" t="n"/>
      <c r="AA123" s="29">
        <f>IFERROR(Z123/X123,"")</f>
        <v/>
      </c>
    </row>
    <row r="124">
      <c r="W124" s="21" t="n"/>
      <c r="X124" s="21" t="n"/>
      <c r="Z124" s="21" t="n"/>
      <c r="AA124" s="29">
        <f>IFERROR(Z124/X124,"")</f>
        <v/>
      </c>
    </row>
    <row r="125">
      <c r="W125" s="21" t="n"/>
      <c r="X125" s="21" t="n"/>
      <c r="Z125" s="21" t="n"/>
      <c r="AA125" s="29">
        <f>IFERROR(Z125/X125,"")</f>
        <v/>
      </c>
    </row>
    <row r="126">
      <c r="W126" s="21" t="n"/>
      <c r="X126" s="21" t="n"/>
      <c r="Z126" s="21" t="n"/>
      <c r="AA126" s="29">
        <f>IFERROR(Z126/X126,"")</f>
        <v/>
      </c>
    </row>
    <row r="127">
      <c r="W127" s="21" t="n"/>
      <c r="X127" s="21" t="n"/>
      <c r="Z127" s="21" t="n"/>
      <c r="AA127" s="29">
        <f>IFERROR(Z127/X127,"")</f>
        <v/>
      </c>
    </row>
    <row r="128">
      <c r="W128" s="21" t="n"/>
      <c r="X128" s="21" t="n"/>
      <c r="Z128" s="21" t="n"/>
      <c r="AA128" s="29">
        <f>IFERROR(Z128/X128,"")</f>
        <v/>
      </c>
    </row>
    <row r="129">
      <c r="W129" s="21" t="n"/>
      <c r="X129" s="21" t="n"/>
      <c r="Z129" s="21" t="n"/>
      <c r="AA129" s="29">
        <f>IFERROR(Z129/X129,"")</f>
        <v/>
      </c>
    </row>
    <row r="130">
      <c r="W130" s="21" t="n"/>
      <c r="X130" s="21" t="n"/>
      <c r="Z130" s="21" t="n"/>
      <c r="AA130" s="29">
        <f>IFERROR(Z130/X130,"")</f>
        <v/>
      </c>
    </row>
    <row r="131">
      <c r="W131" s="21" t="n"/>
      <c r="X131" s="21" t="n"/>
      <c r="Z131" s="21" t="n"/>
      <c r="AA131" s="29">
        <f>IFERROR(Z131/X131,"")</f>
        <v/>
      </c>
    </row>
    <row r="132">
      <c r="W132" s="21" t="n"/>
      <c r="X132" s="21" t="n"/>
      <c r="Z132" s="21" t="n"/>
      <c r="AA132" s="29">
        <f>IFERROR(Z132/X132,"")</f>
        <v/>
      </c>
    </row>
    <row r="133">
      <c r="W133" s="21" t="n"/>
      <c r="X133" s="21" t="n"/>
      <c r="Z133" s="21" t="n"/>
      <c r="AA133" s="29">
        <f>IFERROR(Z133/X133,"")</f>
        <v/>
      </c>
    </row>
    <row r="134">
      <c r="W134" s="21" t="n"/>
      <c r="X134" s="21" t="n"/>
      <c r="Z134" s="21" t="n"/>
      <c r="AA134" s="29">
        <f>IFERROR(Z134/X134,"")</f>
        <v/>
      </c>
    </row>
    <row r="135">
      <c r="W135" s="21" t="n"/>
      <c r="X135" s="21" t="n"/>
      <c r="Z135" s="21" t="n"/>
      <c r="AA135" s="29">
        <f>IFERROR(Z135/X135,"")</f>
        <v/>
      </c>
    </row>
    <row r="136">
      <c r="W136" s="21" t="n"/>
      <c r="X136" s="21" t="n"/>
      <c r="Z136" s="21" t="n"/>
      <c r="AA136" s="29">
        <f>IFERROR(Z136/X136,"")</f>
        <v/>
      </c>
    </row>
    <row r="137">
      <c r="W137" s="21" t="n"/>
      <c r="X137" s="21" t="n"/>
      <c r="Z137" s="21" t="n"/>
      <c r="AA137" s="29">
        <f>IFERROR(Z137/X137,"")</f>
        <v/>
      </c>
    </row>
    <row r="138">
      <c r="W138" s="21" t="n"/>
      <c r="X138" s="21" t="n"/>
      <c r="Z138" s="21" t="n"/>
      <c r="AA138" s="29">
        <f>IFERROR(Z138/X138,"")</f>
        <v/>
      </c>
    </row>
    <row r="139">
      <c r="W139" s="21" t="n"/>
      <c r="X139" s="21" t="n"/>
      <c r="Z139" s="21" t="n"/>
      <c r="AA139" s="29">
        <f>IFERROR(Z139/X139,"")</f>
        <v/>
      </c>
    </row>
    <row r="140">
      <c r="W140" s="21" t="n"/>
      <c r="X140" s="21" t="n"/>
      <c r="Z140" s="21" t="n"/>
      <c r="AA140" s="29">
        <f>IFERROR(Z140/X140,"")</f>
        <v/>
      </c>
    </row>
    <row r="141">
      <c r="W141" s="21" t="n"/>
      <c r="X141" s="21" t="n"/>
      <c r="Z141" s="21" t="n"/>
      <c r="AA141" s="29">
        <f>IFERROR(Z141/X141,"")</f>
        <v/>
      </c>
    </row>
    <row r="142">
      <c r="W142" s="21" t="n"/>
      <c r="X142" s="21" t="n"/>
      <c r="Z142" s="21" t="n"/>
      <c r="AA142" s="29">
        <f>IFERROR(Z142/X142,"")</f>
        <v/>
      </c>
    </row>
    <row r="143">
      <c r="W143" s="21" t="n"/>
      <c r="X143" s="21" t="n"/>
      <c r="Z143" s="21" t="n"/>
      <c r="AA143" s="29">
        <f>IFERROR(Z143/X143,"")</f>
        <v/>
      </c>
    </row>
    <row r="144">
      <c r="W144" s="21" t="n"/>
      <c r="X144" s="21" t="n"/>
      <c r="Z144" s="21" t="n"/>
      <c r="AA144" s="29">
        <f>IFERROR(Z144/X144,"")</f>
        <v/>
      </c>
    </row>
    <row r="145">
      <c r="W145" s="21" t="n"/>
      <c r="X145" s="21" t="n"/>
      <c r="Z145" s="21" t="n"/>
      <c r="AA145" s="29">
        <f>IFERROR(Z145/X145,"")</f>
        <v/>
      </c>
    </row>
    <row r="146">
      <c r="W146" s="21" t="n"/>
      <c r="X146" s="21" t="n"/>
      <c r="Z146" s="21" t="n"/>
      <c r="AA146" s="29">
        <f>IFERROR(Z146/X146,"")</f>
        <v/>
      </c>
    </row>
    <row r="147">
      <c r="W147" s="21" t="n"/>
      <c r="X147" s="21" t="n"/>
      <c r="Z147" s="21" t="n"/>
      <c r="AA147" s="29">
        <f>IFERROR(Z147/X147,"")</f>
        <v/>
      </c>
    </row>
    <row r="148">
      <c r="W148" s="21" t="n"/>
      <c r="X148" s="21" t="n"/>
      <c r="Z148" s="21" t="n"/>
      <c r="AA148" s="29">
        <f>IFERROR(Z148/X148,"")</f>
        <v/>
      </c>
    </row>
    <row r="149">
      <c r="W149" s="21" t="n"/>
      <c r="X149" s="21" t="n"/>
      <c r="Z149" s="21" t="n"/>
      <c r="AA149" s="29">
        <f>IFERROR(Z149/X149,"")</f>
        <v/>
      </c>
    </row>
    <row r="150">
      <c r="W150" s="21" t="n"/>
      <c r="X150" s="21" t="n"/>
      <c r="Z150" s="21" t="n"/>
      <c r="AA150" s="29">
        <f>IFERROR(Z150/X150,"")</f>
        <v/>
      </c>
    </row>
    <row r="151">
      <c r="W151" s="21" t="n"/>
      <c r="X151" s="21" t="n"/>
      <c r="Z151" s="21" t="n"/>
      <c r="AA151" s="29">
        <f>IFERROR(Z151/X151,"")</f>
        <v/>
      </c>
    </row>
    <row r="152">
      <c r="W152" s="21" t="n"/>
      <c r="X152" s="21" t="n"/>
      <c r="Z152" s="21" t="n"/>
      <c r="AA152" s="29">
        <f>IFERROR(Z152/X152,"")</f>
        <v/>
      </c>
    </row>
    <row r="153">
      <c r="W153" s="21" t="n"/>
      <c r="X153" s="21" t="n"/>
      <c r="Z153" s="21" t="n"/>
      <c r="AA153" s="29">
        <f>IFERROR(Z153/X153,"")</f>
        <v/>
      </c>
    </row>
    <row r="154">
      <c r="W154" s="21" t="n"/>
      <c r="X154" s="21" t="n"/>
      <c r="Z154" s="21" t="n"/>
      <c r="AA154" s="29">
        <f>IFERROR(Z154/X154,"")</f>
        <v/>
      </c>
    </row>
    <row r="155">
      <c r="W155" s="21" t="n"/>
      <c r="X155" s="21" t="n"/>
      <c r="Z155" s="21" t="n"/>
      <c r="AA155" s="29">
        <f>IFERROR(Z155/X155,"")</f>
        <v/>
      </c>
    </row>
    <row r="156">
      <c r="W156" s="21" t="n"/>
      <c r="X156" s="21" t="n"/>
      <c r="Z156" s="21" t="n"/>
      <c r="AA156" s="29">
        <f>IFERROR(Z156/X156,"")</f>
        <v/>
      </c>
    </row>
    <row r="157">
      <c r="W157" s="21" t="n"/>
      <c r="X157" s="21" t="n"/>
      <c r="Z157" s="21" t="n"/>
      <c r="AA157" s="29">
        <f>IFERROR(Z157/X157,"")</f>
        <v/>
      </c>
    </row>
    <row r="158">
      <c r="W158" s="21" t="n"/>
      <c r="X158" s="21" t="n"/>
      <c r="Z158" s="21" t="n"/>
      <c r="AA158" s="29">
        <f>IFERROR(Z158/X158,"")</f>
        <v/>
      </c>
    </row>
    <row r="159">
      <c r="W159" s="21" t="n"/>
      <c r="X159" s="21" t="n"/>
      <c r="Z159" s="21" t="n"/>
      <c r="AA159" s="29">
        <f>IFERROR(Z159/X159,"")</f>
        <v/>
      </c>
    </row>
    <row r="160">
      <c r="W160" s="21" t="n"/>
      <c r="X160" s="21" t="n"/>
      <c r="Z160" s="21" t="n"/>
      <c r="AA160" s="29">
        <f>IFERROR(Z160/X160,"")</f>
        <v/>
      </c>
    </row>
    <row r="161">
      <c r="W161" s="21" t="n"/>
      <c r="X161" s="21" t="n"/>
      <c r="Z161" s="21" t="n"/>
      <c r="AA161" s="29">
        <f>IFERROR(Z161/X161,"")</f>
        <v/>
      </c>
    </row>
    <row r="162">
      <c r="W162" s="21" t="n"/>
      <c r="X162" s="21" t="n"/>
      <c r="Z162" s="21" t="n"/>
      <c r="AA162" s="29">
        <f>IFERROR(Z162/X162,"")</f>
        <v/>
      </c>
    </row>
    <row r="163">
      <c r="W163" s="21" t="n"/>
      <c r="X163" s="21" t="n"/>
      <c r="Z163" s="21" t="n"/>
      <c r="AA163" s="29">
        <f>IFERROR(Z163/X163,"")</f>
        <v/>
      </c>
    </row>
    <row r="164">
      <c r="W164" s="21" t="n"/>
      <c r="X164" s="21" t="n"/>
      <c r="Z164" s="21" t="n"/>
      <c r="AA164" s="29">
        <f>IFERROR(Z164/X164,"")</f>
        <v/>
      </c>
    </row>
    <row r="165">
      <c r="W165" s="21" t="n"/>
      <c r="X165" s="21" t="n"/>
      <c r="Z165" s="21" t="n"/>
      <c r="AA165" s="29">
        <f>IFERROR(Z165/X165,"")</f>
        <v/>
      </c>
    </row>
    <row r="166">
      <c r="W166" s="21" t="n"/>
      <c r="X166" s="21" t="n"/>
      <c r="Z166" s="21" t="n"/>
      <c r="AA166" s="29">
        <f>IFERROR(Z166/X166,"")</f>
        <v/>
      </c>
    </row>
    <row r="167">
      <c r="W167" s="21" t="n"/>
      <c r="X167" s="21" t="n"/>
      <c r="Z167" s="21" t="n"/>
      <c r="AA167" s="29">
        <f>IFERROR(Z167/X167,"")</f>
        <v/>
      </c>
    </row>
    <row r="168">
      <c r="W168" s="21" t="n"/>
      <c r="X168" s="21" t="n"/>
      <c r="Z168" s="21" t="n"/>
      <c r="AA168" s="29">
        <f>IFERROR(Z168/X168,"")</f>
        <v/>
      </c>
    </row>
    <row r="169">
      <c r="W169" s="21" t="n"/>
      <c r="X169" s="21" t="n"/>
      <c r="Z169" s="21" t="n"/>
      <c r="AA169" s="29">
        <f>IFERROR(Z169/X169,"")</f>
        <v/>
      </c>
    </row>
    <row r="170">
      <c r="W170" s="21" t="n"/>
      <c r="X170" s="21" t="n"/>
      <c r="Z170" s="21" t="n"/>
      <c r="AA170" s="29">
        <f>IFERROR(Z170/X170,"")</f>
        <v/>
      </c>
    </row>
    <row r="171">
      <c r="W171" s="21" t="n"/>
      <c r="X171" s="21" t="n"/>
      <c r="Z171" s="21" t="n"/>
      <c r="AA171" s="29">
        <f>IFERROR(Z171/X171,"")</f>
        <v/>
      </c>
    </row>
    <row r="172">
      <c r="W172" s="21" t="n"/>
      <c r="X172" s="21" t="n"/>
      <c r="Z172" s="21" t="n"/>
      <c r="AA172" s="29">
        <f>IFERROR(Z172/X172,"")</f>
        <v/>
      </c>
    </row>
    <row r="173">
      <c r="W173" s="21" t="n"/>
      <c r="X173" s="21" t="n"/>
      <c r="Z173" s="21" t="n"/>
      <c r="AA173" s="29">
        <f>IFERROR(Z173/X173,"")</f>
        <v/>
      </c>
    </row>
    <row r="174">
      <c r="W174" s="21" t="n"/>
      <c r="X174" s="21" t="n"/>
      <c r="Z174" s="21" t="n"/>
      <c r="AA174" s="29">
        <f>IFERROR(Z174/X174,"")</f>
        <v/>
      </c>
    </row>
    <row r="175">
      <c r="W175" s="21" t="n"/>
      <c r="X175" s="21" t="n"/>
      <c r="Z175" s="21" t="n"/>
      <c r="AA175" s="29">
        <f>IFERROR(Z175/X175,"")</f>
        <v/>
      </c>
    </row>
    <row r="176">
      <c r="W176" s="21" t="n"/>
      <c r="X176" s="21" t="n"/>
      <c r="Z176" s="21" t="n"/>
      <c r="AA176" s="29">
        <f>IFERROR(Z176/X176,"")</f>
        <v/>
      </c>
    </row>
    <row r="177">
      <c r="W177" s="21" t="n"/>
      <c r="X177" s="21" t="n"/>
      <c r="Z177" s="21" t="n"/>
      <c r="AA177" s="29">
        <f>IFERROR(Z177/X177,"")</f>
        <v/>
      </c>
    </row>
    <row r="178">
      <c r="W178" s="21" t="n"/>
      <c r="X178" s="21" t="n"/>
      <c r="Z178" s="21" t="n"/>
      <c r="AA178" s="29">
        <f>IFERROR(Z178/X178,"")</f>
        <v/>
      </c>
    </row>
    <row r="179">
      <c r="W179" s="21" t="n"/>
      <c r="X179" s="21" t="n"/>
      <c r="Z179" s="21" t="n"/>
      <c r="AA179" s="29">
        <f>IFERROR(Z179/X179,"")</f>
        <v/>
      </c>
    </row>
    <row r="180">
      <c r="W180" s="21" t="n"/>
      <c r="X180" s="21" t="n"/>
      <c r="Z180" s="21" t="n"/>
      <c r="AA180" s="29">
        <f>IFERROR(Z180/X180,"")</f>
        <v/>
      </c>
    </row>
    <row r="181">
      <c r="W181" s="21" t="n"/>
      <c r="X181" s="21" t="n"/>
      <c r="Z181" s="21" t="n"/>
      <c r="AA181" s="29">
        <f>IFERROR(Z181/X181,"")</f>
        <v/>
      </c>
    </row>
    <row r="182">
      <c r="W182" s="21" t="n"/>
      <c r="X182" s="21" t="n"/>
      <c r="Z182" s="21" t="n"/>
      <c r="AA182" s="29">
        <f>IFERROR(Z182/X182,"")</f>
        <v/>
      </c>
    </row>
    <row r="183">
      <c r="W183" s="21" t="n"/>
      <c r="X183" s="21" t="n"/>
      <c r="Z183" s="21" t="n"/>
      <c r="AA183" s="29">
        <f>IFERROR(Z183/X183,"")</f>
        <v/>
      </c>
    </row>
    <row r="184">
      <c r="W184" s="21" t="n"/>
      <c r="X184" s="21" t="n"/>
      <c r="Z184" s="21" t="n"/>
      <c r="AA184" s="29">
        <f>IFERROR(Z184/X184,"")</f>
        <v/>
      </c>
    </row>
    <row r="185">
      <c r="W185" s="21" t="n"/>
      <c r="X185" s="21" t="n"/>
      <c r="Z185" s="21" t="n"/>
      <c r="AA185" s="29">
        <f>IFERROR(Z185/X185,"")</f>
        <v/>
      </c>
    </row>
    <row r="186">
      <c r="W186" s="21" t="n"/>
      <c r="X186" s="21" t="n"/>
      <c r="Z186" s="21" t="n"/>
      <c r="AA186" s="29">
        <f>IFERROR(Z186/X186,"")</f>
        <v/>
      </c>
    </row>
    <row r="187">
      <c r="W187" s="21" t="n"/>
      <c r="X187" s="21" t="n"/>
      <c r="Z187" s="21" t="n"/>
      <c r="AA187" s="29">
        <f>IFERROR(Z187/X187,"")</f>
        <v/>
      </c>
    </row>
    <row r="188">
      <c r="W188" s="21" t="n"/>
      <c r="X188" s="21" t="n"/>
      <c r="Z188" s="21" t="n"/>
      <c r="AA188" s="29">
        <f>IFERROR(Z188/X188,"")</f>
        <v/>
      </c>
    </row>
    <row r="189">
      <c r="W189" s="21" t="n"/>
      <c r="X189" s="21" t="n"/>
      <c r="Z189" s="21" t="n"/>
      <c r="AA189" s="29">
        <f>IFERROR(Z189/X189,"")</f>
        <v/>
      </c>
    </row>
    <row r="190">
      <c r="W190" s="21" t="n"/>
      <c r="X190" s="21" t="n"/>
      <c r="Z190" s="21" t="n"/>
      <c r="AA190" s="29">
        <f>IFERROR(Z190/X190,"")</f>
        <v/>
      </c>
    </row>
    <row r="191">
      <c r="W191" s="21" t="n"/>
      <c r="X191" s="21" t="n"/>
      <c r="Z191" s="21" t="n"/>
      <c r="AA191" s="29">
        <f>IFERROR(Z191/X191,"")</f>
        <v/>
      </c>
    </row>
    <row r="192">
      <c r="W192" s="21" t="n"/>
      <c r="X192" s="21" t="n"/>
      <c r="Z192" s="21" t="n"/>
      <c r="AA192" s="29">
        <f>IFERROR(Z192/X192,"")</f>
        <v/>
      </c>
    </row>
    <row r="193">
      <c r="W193" s="21" t="n"/>
      <c r="X193" s="21" t="n"/>
      <c r="Z193" s="21" t="n"/>
      <c r="AA193" s="29">
        <f>IFERROR(Z193/X193,"")</f>
        <v/>
      </c>
    </row>
    <row r="194">
      <c r="W194" s="21" t="n"/>
      <c r="X194" s="21" t="n"/>
      <c r="Z194" s="21" t="n"/>
      <c r="AA194" s="29">
        <f>IFERROR(Z194/X194,"")</f>
        <v/>
      </c>
    </row>
    <row r="195">
      <c r="W195" s="21" t="n"/>
      <c r="X195" s="21" t="n"/>
      <c r="Z195" s="21" t="n"/>
      <c r="AA195" s="29">
        <f>IFERROR(Z195/X195,"")</f>
        <v/>
      </c>
    </row>
    <row r="196">
      <c r="W196" s="21" t="n"/>
      <c r="X196" s="21" t="n"/>
      <c r="Z196" s="21" t="n"/>
      <c r="AA196" s="29">
        <f>IFERROR(Z196/X196,"")</f>
        <v/>
      </c>
    </row>
    <row r="197">
      <c r="W197" s="21" t="n"/>
      <c r="X197" s="21" t="n"/>
      <c r="Z197" s="21" t="n"/>
      <c r="AA197" s="29">
        <f>IFERROR(Z197/X197,"")</f>
        <v/>
      </c>
    </row>
    <row r="198">
      <c r="W198" s="21" t="n"/>
      <c r="X198" s="21" t="n"/>
      <c r="Z198" s="21" t="n"/>
      <c r="AA198" s="29">
        <f>IFERROR(Z198/X198,"")</f>
        <v/>
      </c>
    </row>
    <row r="199">
      <c r="W199" s="21" t="n"/>
      <c r="X199" s="21" t="n"/>
      <c r="Z199" s="21" t="n"/>
      <c r="AA199" s="29">
        <f>IFERROR(Z199/X199,"")</f>
        <v/>
      </c>
    </row>
    <row r="200">
      <c r="W200" s="21" t="n"/>
      <c r="X200" s="21" t="n"/>
      <c r="Z200" s="21" t="n"/>
      <c r="AA200" s="29">
        <f>IFERROR(Z200/X200,"")</f>
        <v/>
      </c>
    </row>
    <row r="201">
      <c r="W201" s="21" t="n"/>
      <c r="X201" s="21" t="n"/>
      <c r="Z201" s="21" t="n"/>
      <c r="AA201" s="29">
        <f>IFERROR(Z201/X201,"")</f>
        <v/>
      </c>
    </row>
    <row r="202">
      <c r="W202" s="21" t="n"/>
      <c r="X202" s="21" t="n"/>
      <c r="Z202" s="21" t="n"/>
      <c r="AA202" s="29">
        <f>IFERROR(Z202/X202,"")</f>
        <v/>
      </c>
    </row>
    <row r="203">
      <c r="W203" s="21" t="n"/>
      <c r="X203" s="21" t="n"/>
      <c r="Z203" s="21" t="n"/>
      <c r="AA203" s="29">
        <f>IFERROR(Z203/X203,"")</f>
        <v/>
      </c>
    </row>
    <row r="204">
      <c r="W204" s="21" t="n"/>
      <c r="X204" s="21" t="n"/>
      <c r="Z204" s="21" t="n"/>
      <c r="AA204" s="29">
        <f>IFERROR(Z204/X204,"")</f>
        <v/>
      </c>
    </row>
    <row r="205">
      <c r="W205" s="21" t="n"/>
      <c r="X205" s="21" t="n"/>
      <c r="Z205" s="21" t="n"/>
      <c r="AA205" s="29">
        <f>IFERROR(Z205/X205,"")</f>
        <v/>
      </c>
    </row>
    <row r="206">
      <c r="W206" s="21" t="n"/>
      <c r="X206" s="21" t="n"/>
      <c r="Z206" s="21" t="n"/>
      <c r="AA206" s="29">
        <f>IFERROR(Z206/X206,"")</f>
        <v/>
      </c>
    </row>
    <row r="207">
      <c r="W207" s="21" t="n"/>
      <c r="X207" s="21" t="n"/>
      <c r="Z207" s="21" t="n"/>
      <c r="AA207" s="29">
        <f>IFERROR(Z207/X207,"")</f>
        <v/>
      </c>
    </row>
    <row r="208">
      <c r="W208" s="21" t="n"/>
      <c r="X208" s="21" t="n"/>
      <c r="Z208" s="21" t="n"/>
      <c r="AA208" s="29">
        <f>IFERROR(Z208/X208,"")</f>
        <v/>
      </c>
    </row>
    <row r="209">
      <c r="W209" s="21" t="n"/>
      <c r="X209" s="21" t="n"/>
      <c r="Z209" s="21" t="n"/>
      <c r="AA209" s="29">
        <f>IFERROR(Z209/X209,"")</f>
        <v/>
      </c>
    </row>
    <row r="210">
      <c r="W210" s="21" t="n"/>
      <c r="X210" s="21" t="n"/>
      <c r="Z210" s="21" t="n"/>
      <c r="AA210" s="29">
        <f>IFERROR(Z210/X210,"")</f>
        <v/>
      </c>
    </row>
    <row r="211">
      <c r="W211" s="21" t="n"/>
      <c r="X211" s="21" t="n"/>
      <c r="Z211" s="21" t="n"/>
      <c r="AA211" s="29">
        <f>IFERROR(Z211/X211,"")</f>
        <v/>
      </c>
    </row>
    <row r="212">
      <c r="W212" s="21" t="n"/>
      <c r="X212" s="21" t="n"/>
      <c r="Z212" s="21" t="n"/>
      <c r="AA212" s="29">
        <f>IFERROR(Z212/X212,"")</f>
        <v/>
      </c>
    </row>
    <row r="213">
      <c r="W213" s="21" t="n"/>
      <c r="X213" s="21" t="n"/>
      <c r="Z213" s="21" t="n"/>
      <c r="AA213" s="29">
        <f>IFERROR(Z213/X213,"")</f>
        <v/>
      </c>
    </row>
    <row r="214">
      <c r="W214" s="21" t="n"/>
      <c r="X214" s="21" t="n"/>
      <c r="Z214" s="21" t="n"/>
      <c r="AA214" s="29">
        <f>IFERROR(Z214/X214,"")</f>
        <v/>
      </c>
    </row>
    <row r="215">
      <c r="W215" s="21" t="n"/>
      <c r="X215" s="21" t="n"/>
      <c r="Z215" s="21" t="n"/>
      <c r="AA215" s="29">
        <f>IFERROR(Z215/X215,"")</f>
        <v/>
      </c>
    </row>
    <row r="216">
      <c r="W216" s="21" t="n"/>
      <c r="X216" s="21" t="n"/>
      <c r="Z216" s="21" t="n"/>
      <c r="AA216" s="29">
        <f>IFERROR(Z216/X216,"")</f>
        <v/>
      </c>
    </row>
    <row r="217">
      <c r="W217" s="21" t="n"/>
      <c r="X217" s="21" t="n"/>
      <c r="Z217" s="21" t="n"/>
      <c r="AA217" s="29">
        <f>IFERROR(Z217/X217,"")</f>
        <v/>
      </c>
    </row>
    <row r="218">
      <c r="W218" s="21" t="n"/>
      <c r="X218" s="21" t="n"/>
      <c r="Z218" s="21" t="n"/>
      <c r="AA218" s="29">
        <f>IFERROR(Z218/X218,"")</f>
        <v/>
      </c>
    </row>
    <row r="219">
      <c r="W219" s="21" t="n"/>
      <c r="X219" s="21" t="n"/>
      <c r="Z219" s="21" t="n"/>
      <c r="AA219" s="29">
        <f>IFERROR(Z219/X219,"")</f>
        <v/>
      </c>
    </row>
    <row r="220">
      <c r="W220" s="21" t="n"/>
      <c r="X220" s="21" t="n"/>
      <c r="Z220" s="21" t="n"/>
      <c r="AA220" s="29">
        <f>IFERROR(Z220/X220,"")</f>
        <v/>
      </c>
    </row>
    <row r="221">
      <c r="W221" s="21" t="n"/>
      <c r="X221" s="21" t="n"/>
      <c r="Z221" s="21" t="n"/>
      <c r="AA221" s="29">
        <f>IFERROR(Z221/X221,"")</f>
        <v/>
      </c>
    </row>
    <row r="222">
      <c r="W222" s="21" t="n"/>
      <c r="X222" s="21" t="n"/>
      <c r="Z222" s="21" t="n"/>
      <c r="AA222" s="29">
        <f>IFERROR(Z222/X222,"")</f>
        <v/>
      </c>
    </row>
    <row r="223">
      <c r="W223" s="21" t="n"/>
      <c r="X223" s="21" t="n"/>
      <c r="Z223" s="21" t="n"/>
      <c r="AA223" s="29">
        <f>IFERROR(Z223/X223,"")</f>
        <v/>
      </c>
    </row>
    <row r="224">
      <c r="W224" s="21" t="n"/>
      <c r="X224" s="21" t="n"/>
      <c r="Z224" s="21" t="n"/>
      <c r="AA224" s="29">
        <f>IFERROR(Z224/X224,"")</f>
        <v/>
      </c>
    </row>
    <row r="225">
      <c r="W225" s="21" t="n"/>
      <c r="X225" s="21" t="n"/>
      <c r="Z225" s="21" t="n"/>
      <c r="AA225" s="29">
        <f>IFERROR(Z225/X225,"")</f>
        <v/>
      </c>
    </row>
    <row r="226">
      <c r="W226" s="21" t="n"/>
      <c r="X226" s="21" t="n"/>
      <c r="Z226" s="21" t="n"/>
      <c r="AA226" s="29">
        <f>IFERROR(Z226/X226,"")</f>
        <v/>
      </c>
    </row>
    <row r="227">
      <c r="W227" s="21" t="n"/>
      <c r="X227" s="21" t="n"/>
      <c r="Z227" s="21" t="n"/>
      <c r="AA227" s="29">
        <f>IFERROR(Z227/X227,"")</f>
        <v/>
      </c>
    </row>
    <row r="228">
      <c r="W228" s="21" t="n"/>
      <c r="X228" s="21" t="n"/>
      <c r="Z228" s="21" t="n"/>
      <c r="AA228" s="29">
        <f>IFERROR(Z228/X228,"")</f>
        <v/>
      </c>
    </row>
    <row r="229">
      <c r="W229" s="21" t="n"/>
      <c r="X229" s="21" t="n"/>
      <c r="Z229" s="21" t="n"/>
      <c r="AA229" s="29">
        <f>IFERROR(Z229/X229,"")</f>
        <v/>
      </c>
    </row>
    <row r="230">
      <c r="W230" s="21" t="n"/>
      <c r="X230" s="21" t="n"/>
      <c r="Z230" s="21" t="n"/>
      <c r="AA230" s="29">
        <f>IFERROR(Z230/X230,"")</f>
        <v/>
      </c>
    </row>
    <row r="231">
      <c r="W231" s="21" t="n"/>
      <c r="X231" s="21" t="n"/>
      <c r="Z231" s="21" t="n"/>
      <c r="AA231" s="29">
        <f>IFERROR(Z231/X231,"")</f>
        <v/>
      </c>
    </row>
    <row r="232">
      <c r="W232" s="21" t="n"/>
      <c r="X232" s="21" t="n"/>
      <c r="Z232" s="21" t="n"/>
      <c r="AA232" s="29">
        <f>IFERROR(Z232/X232,"")</f>
        <v/>
      </c>
    </row>
    <row r="233">
      <c r="W233" s="21" t="n"/>
      <c r="X233" s="21" t="n"/>
      <c r="Z233" s="21" t="n"/>
      <c r="AA233" s="29">
        <f>IFERROR(Z233/X233,"")</f>
        <v/>
      </c>
    </row>
    <row r="234">
      <c r="W234" s="21" t="n"/>
      <c r="X234" s="21" t="n"/>
      <c r="Z234" s="21" t="n"/>
      <c r="AA234" s="29">
        <f>IFERROR(Z234/X234,"")</f>
        <v/>
      </c>
    </row>
    <row r="235">
      <c r="W235" s="21" t="n"/>
      <c r="X235" s="21" t="n"/>
      <c r="Z235" s="21" t="n"/>
      <c r="AA235" s="29">
        <f>IFERROR(Z235/X235,"")</f>
        <v/>
      </c>
    </row>
    <row r="236">
      <c r="W236" s="21" t="n"/>
      <c r="X236" s="21" t="n"/>
      <c r="Z236" s="21" t="n"/>
      <c r="AA236" s="29">
        <f>IFERROR(Z236/X236,"")</f>
        <v/>
      </c>
    </row>
    <row r="237">
      <c r="W237" s="21" t="n"/>
      <c r="X237" s="21" t="n"/>
      <c r="Z237" s="21" t="n"/>
      <c r="AA237" s="29">
        <f>IFERROR(Z237/X237,"")</f>
        <v/>
      </c>
    </row>
    <row r="238">
      <c r="W238" s="21" t="n"/>
      <c r="X238" s="21" t="n"/>
      <c r="Z238" s="21" t="n"/>
      <c r="AA238" s="29">
        <f>IFERROR(Z238/X238,"")</f>
        <v/>
      </c>
    </row>
    <row r="239">
      <c r="W239" s="21" t="n"/>
      <c r="X239" s="21" t="n"/>
      <c r="Z239" s="21" t="n"/>
      <c r="AA239" s="29">
        <f>IFERROR(Z239/X239,"")</f>
        <v/>
      </c>
    </row>
    <row r="240">
      <c r="W240" s="21" t="n"/>
      <c r="X240" s="21" t="n"/>
      <c r="Z240" s="21" t="n"/>
      <c r="AA240" s="29">
        <f>IFERROR(Z240/X240,"")</f>
        <v/>
      </c>
    </row>
    <row r="241">
      <c r="W241" s="21" t="n"/>
      <c r="X241" s="21" t="n"/>
      <c r="Z241" s="21" t="n"/>
      <c r="AA241" s="29">
        <f>IFERROR(Z241/X241,"")</f>
        <v/>
      </c>
    </row>
    <row r="242">
      <c r="W242" s="21" t="n"/>
      <c r="X242" s="21" t="n"/>
      <c r="Z242" s="21" t="n"/>
      <c r="AA242" s="29">
        <f>IFERROR(Z242/X242,"")</f>
        <v/>
      </c>
    </row>
    <row r="243">
      <c r="W243" s="21" t="n"/>
      <c r="X243" s="21" t="n"/>
      <c r="Z243" s="21" t="n"/>
      <c r="AA243" s="29">
        <f>IFERROR(Z243/X243,"")</f>
        <v/>
      </c>
    </row>
    <row r="244">
      <c r="W244" s="21" t="n"/>
      <c r="X244" s="21" t="n"/>
      <c r="Z244" s="21" t="n"/>
      <c r="AA244" s="29">
        <f>IFERROR(Z244/X244,"")</f>
        <v/>
      </c>
    </row>
    <row r="245">
      <c r="W245" s="21" t="n"/>
      <c r="X245" s="21" t="n"/>
      <c r="Z245" s="21" t="n"/>
      <c r="AA245" s="29">
        <f>IFERROR(Z245/X245,"")</f>
        <v/>
      </c>
    </row>
    <row r="246">
      <c r="W246" s="21" t="n"/>
      <c r="X246" s="21" t="n"/>
      <c r="Z246" s="21" t="n"/>
      <c r="AA246" s="29">
        <f>IFERROR(Z246/X246,"")</f>
        <v/>
      </c>
    </row>
    <row r="247">
      <c r="W247" s="21" t="n"/>
      <c r="X247" s="21" t="n"/>
      <c r="Z247" s="21" t="n"/>
      <c r="AA247" s="29">
        <f>IFERROR(Z247/X247,"")</f>
        <v/>
      </c>
    </row>
    <row r="248">
      <c r="W248" s="21" t="n"/>
      <c r="X248" s="21" t="n"/>
      <c r="Z248" s="21" t="n"/>
      <c r="AA248" s="29">
        <f>IFERROR(Z248/X248,"")</f>
        <v/>
      </c>
    </row>
    <row r="249">
      <c r="W249" s="21" t="n"/>
      <c r="X249" s="21" t="n"/>
      <c r="Z249" s="21" t="n"/>
      <c r="AA249" s="29">
        <f>IFERROR(Z249/X249,"")</f>
        <v/>
      </c>
    </row>
    <row r="250">
      <c r="W250" s="21" t="n"/>
      <c r="X250" s="21" t="n"/>
      <c r="Z250" s="21" t="n"/>
      <c r="AA250" s="29">
        <f>IFERROR(Z250/X250,"")</f>
        <v/>
      </c>
    </row>
    <row r="251">
      <c r="W251" s="21" t="n"/>
      <c r="X251" s="21" t="n"/>
      <c r="Z251" s="21" t="n"/>
      <c r="AA251" s="29">
        <f>IFERROR(Z251/X251,"")</f>
        <v/>
      </c>
    </row>
    <row r="252">
      <c r="W252" s="21" t="n"/>
      <c r="X252" s="21" t="n"/>
      <c r="Z252" s="21" t="n"/>
      <c r="AA252" s="29">
        <f>IFERROR(Z252/X252,"")</f>
        <v/>
      </c>
    </row>
    <row r="253">
      <c r="W253" s="21" t="n"/>
      <c r="X253" s="21" t="n"/>
      <c r="Z253" s="21" t="n"/>
      <c r="AA253" s="29">
        <f>IFERROR(Z253/X253,"")</f>
        <v/>
      </c>
    </row>
    <row r="254">
      <c r="W254" s="21" t="n"/>
      <c r="X254" s="21" t="n"/>
      <c r="Z254" s="21" t="n"/>
      <c r="AA254" s="29">
        <f>IFERROR(Z254/X254,"")</f>
        <v/>
      </c>
    </row>
    <row r="255">
      <c r="W255" s="21" t="n"/>
      <c r="X255" s="21" t="n"/>
      <c r="Z255" s="21" t="n"/>
      <c r="AA255" s="29">
        <f>IFERROR(Z255/X255,"")</f>
        <v/>
      </c>
    </row>
    <row r="256">
      <c r="W256" s="21" t="n"/>
      <c r="X256" s="21" t="n"/>
      <c r="Z256" s="21" t="n"/>
      <c r="AA256" s="29">
        <f>IFERROR(Z256/X256,"")</f>
        <v/>
      </c>
    </row>
    <row r="257">
      <c r="W257" s="21" t="n"/>
      <c r="X257" s="21" t="n"/>
      <c r="Z257" s="21" t="n"/>
      <c r="AA257" s="29">
        <f>IFERROR(Z257/X257,"")</f>
        <v/>
      </c>
    </row>
    <row r="258">
      <c r="W258" s="21" t="n"/>
      <c r="X258" s="21" t="n"/>
      <c r="Z258" s="21" t="n"/>
      <c r="AA258" s="29">
        <f>IFERROR(Z258/X258,"")</f>
        <v/>
      </c>
    </row>
    <row r="259">
      <c r="W259" s="21" t="n"/>
      <c r="X259" s="21" t="n"/>
      <c r="Z259" s="21" t="n"/>
      <c r="AA259" s="29">
        <f>IFERROR(Z259/X259,"")</f>
        <v/>
      </c>
    </row>
    <row r="260">
      <c r="W260" s="21" t="n"/>
      <c r="X260" s="21" t="n"/>
      <c r="Z260" s="21" t="n"/>
      <c r="AA260" s="29">
        <f>IFERROR(Z260/X260,"")</f>
        <v/>
      </c>
    </row>
    <row r="261">
      <c r="W261" s="21" t="n"/>
      <c r="X261" s="21" t="n"/>
      <c r="Z261" s="21" t="n"/>
      <c r="AA261" s="29">
        <f>IFERROR(Z261/X261,"")</f>
        <v/>
      </c>
    </row>
    <row r="262">
      <c r="W262" s="21" t="n"/>
      <c r="X262" s="21" t="n"/>
      <c r="Z262" s="21" t="n"/>
      <c r="AA262" s="29">
        <f>IFERROR(Z262/X262,"")</f>
        <v/>
      </c>
    </row>
    <row r="263">
      <c r="W263" s="21" t="n"/>
      <c r="X263" s="21" t="n"/>
      <c r="Z263" s="21" t="n"/>
      <c r="AA263" s="29">
        <f>IFERROR(Z263/X263,"")</f>
        <v/>
      </c>
    </row>
    <row r="264">
      <c r="W264" s="21" t="n"/>
      <c r="X264" s="21" t="n"/>
      <c r="Z264" s="21" t="n"/>
      <c r="AA264" s="29">
        <f>IFERROR(Z264/X264,"")</f>
        <v/>
      </c>
    </row>
    <row r="265">
      <c r="W265" s="21" t="n"/>
      <c r="X265" s="21" t="n"/>
      <c r="Z265" s="21" t="n"/>
      <c r="AA265" s="29">
        <f>IFERROR(Z265/X265,"")</f>
        <v/>
      </c>
    </row>
    <row r="266">
      <c r="W266" s="21" t="n"/>
      <c r="X266" s="21" t="n"/>
      <c r="Z266" s="21" t="n"/>
      <c r="AA266" s="29">
        <f>IFERROR(Z266/X266,"")</f>
        <v/>
      </c>
    </row>
    <row r="267">
      <c r="W267" s="21" t="n"/>
      <c r="X267" s="21" t="n"/>
      <c r="Z267" s="21" t="n"/>
      <c r="AA267" s="29">
        <f>IFERROR(Z267/X267,"")</f>
        <v/>
      </c>
    </row>
    <row r="268">
      <c r="W268" s="21" t="n"/>
      <c r="X268" s="21" t="n"/>
      <c r="Z268" s="21" t="n"/>
      <c r="AA268" s="29">
        <f>IFERROR(Z268/X268,"")</f>
        <v/>
      </c>
    </row>
    <row r="269">
      <c r="W269" s="21" t="n"/>
      <c r="X269" s="21" t="n"/>
      <c r="Z269" s="21" t="n"/>
      <c r="AA269" s="29">
        <f>IFERROR(Z269/X269,"")</f>
        <v/>
      </c>
    </row>
    <row r="270">
      <c r="W270" s="21" t="n"/>
      <c r="X270" s="21" t="n"/>
      <c r="Z270" s="21" t="n"/>
      <c r="AA270" s="29">
        <f>IFERROR(Z270/X270,"")</f>
        <v/>
      </c>
    </row>
    <row r="271">
      <c r="W271" s="21" t="n"/>
      <c r="X271" s="21" t="n"/>
      <c r="Z271" s="21" t="n"/>
      <c r="AA271" s="29">
        <f>IFERROR(Z271/X271,"")</f>
        <v/>
      </c>
    </row>
    <row r="272">
      <c r="W272" s="21" t="n"/>
      <c r="X272" s="21" t="n"/>
      <c r="Z272" s="21" t="n"/>
      <c r="AA272" s="29">
        <f>IFERROR(Z272/X272,"")</f>
        <v/>
      </c>
    </row>
    <row r="273">
      <c r="W273" s="21" t="n"/>
      <c r="X273" s="21" t="n"/>
      <c r="Z273" s="21" t="n"/>
      <c r="AA273" s="29">
        <f>IFERROR(Z273/X273,"")</f>
        <v/>
      </c>
    </row>
    <row r="274">
      <c r="W274" s="21" t="n"/>
      <c r="X274" s="21" t="n"/>
      <c r="Z274" s="21" t="n"/>
      <c r="AA274" s="29">
        <f>IFERROR(Z274/X274,"")</f>
        <v/>
      </c>
    </row>
    <row r="275">
      <c r="W275" s="21" t="n"/>
      <c r="X275" s="21" t="n"/>
      <c r="Z275" s="21" t="n"/>
      <c r="AA275" s="29">
        <f>IFERROR(Z275/X275,"")</f>
        <v/>
      </c>
    </row>
    <row r="276">
      <c r="W276" s="21" t="n"/>
      <c r="X276" s="21" t="n"/>
      <c r="Z276" s="21" t="n"/>
      <c r="AA276" s="29">
        <f>IFERROR(Z276/X276,"")</f>
        <v/>
      </c>
    </row>
    <row r="277">
      <c r="W277" s="21" t="n"/>
      <c r="X277" s="21" t="n"/>
      <c r="Z277" s="21" t="n"/>
      <c r="AA277" s="29">
        <f>IFERROR(Z277/X277,"")</f>
        <v/>
      </c>
    </row>
    <row r="278">
      <c r="W278" s="21" t="n"/>
      <c r="X278" s="21" t="n"/>
      <c r="Z278" s="21" t="n"/>
      <c r="AA278" s="29">
        <f>IFERROR(Z278/X278,"")</f>
        <v/>
      </c>
    </row>
    <row r="279">
      <c r="W279" s="21" t="n"/>
      <c r="X279" s="21" t="n"/>
      <c r="Z279" s="21" t="n"/>
      <c r="AA279" s="29">
        <f>IFERROR(Z279/X279,"")</f>
        <v/>
      </c>
    </row>
    <row r="280">
      <c r="W280" s="21" t="n"/>
      <c r="X280" s="21" t="n"/>
      <c r="Z280" s="21" t="n"/>
      <c r="AA280" s="29">
        <f>IFERROR(Z280/X280,"")</f>
        <v/>
      </c>
    </row>
    <row r="281">
      <c r="W281" s="21" t="n"/>
      <c r="X281" s="21" t="n"/>
      <c r="Z281" s="21" t="n"/>
      <c r="AA281" s="29">
        <f>IFERROR(Z281/X281,"")</f>
        <v/>
      </c>
    </row>
    <row r="282">
      <c r="W282" s="21" t="n"/>
      <c r="X282" s="21" t="n"/>
      <c r="Z282" s="21" t="n"/>
      <c r="AA282" s="29">
        <f>IFERROR(Z282/X282,"")</f>
        <v/>
      </c>
    </row>
    <row r="283">
      <c r="W283" s="21" t="n"/>
      <c r="X283" s="21" t="n"/>
      <c r="Z283" s="21" t="n"/>
      <c r="AA283" s="29">
        <f>IFERROR(Z283/X283,"")</f>
        <v/>
      </c>
    </row>
    <row r="284">
      <c r="W284" s="21" t="n"/>
      <c r="X284" s="21" t="n"/>
      <c r="Z284" s="21" t="n"/>
      <c r="AA284" s="29">
        <f>IFERROR(Z284/X284,"")</f>
        <v/>
      </c>
    </row>
    <row r="285">
      <c r="W285" s="21" t="n"/>
      <c r="X285" s="21" t="n"/>
      <c r="Z285" s="21" t="n"/>
      <c r="AA285" s="29">
        <f>IFERROR(Z285/X285,"")</f>
        <v/>
      </c>
    </row>
    <row r="286">
      <c r="W286" s="21" t="n"/>
      <c r="X286" s="21" t="n"/>
      <c r="Z286" s="21" t="n"/>
      <c r="AA286" s="29">
        <f>IFERROR(Z286/X286,"")</f>
        <v/>
      </c>
    </row>
    <row r="287">
      <c r="W287" s="21" t="n"/>
      <c r="X287" s="21" t="n"/>
      <c r="Z287" s="21" t="n"/>
      <c r="AA287" s="29">
        <f>IFERROR(Z287/X287,"")</f>
        <v/>
      </c>
    </row>
    <row r="288">
      <c r="W288" s="21" t="n"/>
      <c r="X288" s="21" t="n"/>
      <c r="Z288" s="21" t="n"/>
      <c r="AA288" s="29">
        <f>IFERROR(Z288/X288,"")</f>
        <v/>
      </c>
    </row>
    <row r="289">
      <c r="W289" s="21" t="n"/>
      <c r="X289" s="21" t="n"/>
      <c r="Z289" s="21" t="n"/>
      <c r="AA289" s="29">
        <f>IFERROR(Z289/X289,"")</f>
        <v/>
      </c>
    </row>
    <row r="290">
      <c r="W290" s="21" t="n"/>
      <c r="X290" s="21" t="n"/>
      <c r="Z290" s="21" t="n"/>
      <c r="AA290" s="29">
        <f>IFERROR(Z290/X290,"")</f>
        <v/>
      </c>
    </row>
    <row r="291">
      <c r="W291" s="21" t="n"/>
      <c r="X291" s="21" t="n"/>
      <c r="Z291" s="21" t="n"/>
      <c r="AA291" s="29">
        <f>IFERROR(Z291/X291,"")</f>
        <v/>
      </c>
    </row>
    <row r="292">
      <c r="W292" s="21" t="n"/>
      <c r="X292" s="21" t="n"/>
      <c r="Z292" s="21" t="n"/>
      <c r="AA292" s="29">
        <f>IFERROR(Z292/X292,"")</f>
        <v/>
      </c>
    </row>
    <row r="293">
      <c r="W293" s="21" t="n"/>
      <c r="X293" s="21" t="n"/>
      <c r="Z293" s="21" t="n"/>
      <c r="AA293" s="29">
        <f>IFERROR(Z293/X293,"")</f>
        <v/>
      </c>
    </row>
    <row r="294">
      <c r="W294" s="21" t="n"/>
      <c r="X294" s="21" t="n"/>
      <c r="Z294" s="21" t="n"/>
      <c r="AA294" s="29">
        <f>IFERROR(Z294/X294,"")</f>
        <v/>
      </c>
    </row>
    <row r="295">
      <c r="W295" s="21" t="n"/>
      <c r="X295" s="21" t="n"/>
      <c r="Z295" s="21" t="n"/>
      <c r="AA295" s="29">
        <f>IFERROR(Z295/X295,"")</f>
        <v/>
      </c>
    </row>
    <row r="296">
      <c r="W296" s="21" t="n"/>
      <c r="X296" s="21" t="n"/>
      <c r="Z296" s="21" t="n"/>
      <c r="AA296" s="29">
        <f>IFERROR(Z296/X296,"")</f>
        <v/>
      </c>
    </row>
    <row r="297">
      <c r="W297" s="21" t="n"/>
      <c r="X297" s="21" t="n"/>
      <c r="Z297" s="21" t="n"/>
      <c r="AA297" s="29">
        <f>IFERROR(Z297/X297,"")</f>
        <v/>
      </c>
    </row>
    <row r="298">
      <c r="W298" s="21" t="n"/>
      <c r="X298" s="21" t="n"/>
      <c r="Z298" s="21" t="n"/>
      <c r="AA298" s="29">
        <f>IFERROR(Z298/X298,"")</f>
        <v/>
      </c>
    </row>
    <row r="299">
      <c r="W299" s="21" t="n"/>
      <c r="X299" s="21" t="n"/>
      <c r="Z299" s="21" t="n"/>
      <c r="AA299" s="29">
        <f>IFERROR(Z299/X299,"")</f>
        <v/>
      </c>
    </row>
    <row r="300">
      <c r="W300" s="21" t="n"/>
      <c r="X300" s="21" t="n"/>
      <c r="Z300" s="21" t="n"/>
      <c r="AA300" s="29">
        <f>IFERROR(Z300/X300,"")</f>
        <v/>
      </c>
    </row>
    <row r="301">
      <c r="W301" s="21" t="n"/>
      <c r="X301" s="21" t="n"/>
      <c r="Z301" s="21" t="n"/>
      <c r="AA301" s="29">
        <f>IFERROR(Z301/X301,"")</f>
        <v/>
      </c>
    </row>
    <row r="302">
      <c r="W302" s="21" t="n"/>
      <c r="X302" s="21" t="n"/>
      <c r="Z302" s="21" t="n"/>
      <c r="AA302" s="29">
        <f>IFERROR(Z302/X302,"")</f>
        <v/>
      </c>
    </row>
    <row r="303">
      <c r="W303" s="21" t="n"/>
      <c r="X303" s="21" t="n"/>
      <c r="Z303" s="21" t="n"/>
      <c r="AA303" s="29">
        <f>IFERROR(Z303/X303,"")</f>
        <v/>
      </c>
    </row>
    <row r="304">
      <c r="W304" s="21" t="n"/>
      <c r="X304" s="21" t="n"/>
      <c r="Z304" s="21" t="n"/>
      <c r="AA304" s="29">
        <f>IFERROR(Z304/X304,"")</f>
        <v/>
      </c>
    </row>
    <row r="305">
      <c r="W305" s="21" t="n"/>
      <c r="X305" s="21" t="n"/>
      <c r="Z305" s="21" t="n"/>
      <c r="AA305" s="29">
        <f>IFERROR(Z305/X305,"")</f>
        <v/>
      </c>
    </row>
    <row r="306">
      <c r="W306" s="21" t="n"/>
      <c r="X306" s="21" t="n"/>
      <c r="Z306" s="21" t="n"/>
      <c r="AA306" s="29">
        <f>IFERROR(Z306/X306,"")</f>
        <v/>
      </c>
    </row>
    <row r="307">
      <c r="W307" s="21" t="n"/>
      <c r="X307" s="21" t="n"/>
      <c r="Z307" s="21" t="n"/>
      <c r="AA307" s="29">
        <f>IFERROR(Z307/X307,"")</f>
        <v/>
      </c>
    </row>
    <row r="308">
      <c r="W308" s="21" t="n"/>
      <c r="X308" s="21" t="n"/>
      <c r="Z308" s="21" t="n"/>
      <c r="AA308" s="29">
        <f>IFERROR(Z308/X308,"")</f>
        <v/>
      </c>
    </row>
    <row r="309">
      <c r="W309" s="21" t="n"/>
      <c r="X309" s="21" t="n"/>
      <c r="Z309" s="21" t="n"/>
      <c r="AA309" s="29">
        <f>IFERROR(Z309/X309,"")</f>
        <v/>
      </c>
    </row>
    <row r="310">
      <c r="W310" s="21" t="n"/>
      <c r="X310" s="21" t="n"/>
      <c r="Z310" s="21" t="n"/>
      <c r="AA310" s="29">
        <f>IFERROR(Z310/X310,"")</f>
        <v/>
      </c>
    </row>
    <row r="311">
      <c r="W311" s="21" t="n"/>
      <c r="X311" s="21" t="n"/>
      <c r="Z311" s="21" t="n"/>
      <c r="AA311" s="29">
        <f>IFERROR(Z311/X311,"")</f>
        <v/>
      </c>
    </row>
    <row r="312">
      <c r="W312" s="21" t="n"/>
      <c r="X312" s="21" t="n"/>
      <c r="Z312" s="21" t="n"/>
      <c r="AA312" s="29">
        <f>IFERROR(Z312/X312,"")</f>
        <v/>
      </c>
    </row>
    <row r="313">
      <c r="W313" s="21" t="n"/>
      <c r="X313" s="21" t="n"/>
      <c r="Z313" s="21" t="n"/>
      <c r="AA313" s="29">
        <f>IFERROR(Z313/X313,"")</f>
        <v/>
      </c>
    </row>
    <row r="314">
      <c r="W314" s="21" t="n"/>
      <c r="X314" s="21" t="n"/>
      <c r="Z314" s="21" t="n"/>
      <c r="AA314" s="29">
        <f>IFERROR(Z314/X314,"")</f>
        <v/>
      </c>
    </row>
    <row r="315">
      <c r="W315" s="21" t="n"/>
      <c r="X315" s="21" t="n"/>
      <c r="Z315" s="21" t="n"/>
      <c r="AA315" s="29">
        <f>IFERROR(Z315/X315,"")</f>
        <v/>
      </c>
    </row>
    <row r="316">
      <c r="W316" s="21" t="n"/>
      <c r="X316" s="21" t="n"/>
      <c r="Z316" s="21" t="n"/>
      <c r="AA316" s="29">
        <f>IFERROR(Z316/X316,"")</f>
        <v/>
      </c>
    </row>
    <row r="317">
      <c r="W317" s="21" t="n"/>
      <c r="X317" s="21" t="n"/>
      <c r="Z317" s="21" t="n"/>
      <c r="AA317" s="29">
        <f>IFERROR(Z317/X317,"")</f>
        <v/>
      </c>
    </row>
    <row r="318">
      <c r="W318" s="21" t="n"/>
      <c r="X318" s="21" t="n"/>
      <c r="Z318" s="21" t="n"/>
      <c r="AA318" s="29">
        <f>IFERROR(Z318/X318,"")</f>
        <v/>
      </c>
    </row>
    <row r="319">
      <c r="W319" s="21" t="n"/>
      <c r="X319" s="21" t="n"/>
      <c r="Z319" s="21" t="n"/>
      <c r="AA319" s="29">
        <f>IFERROR(Z319/X319,"")</f>
        <v/>
      </c>
    </row>
    <row r="320">
      <c r="W320" s="21" t="n"/>
      <c r="X320" s="21" t="n"/>
      <c r="Z320" s="21" t="n"/>
      <c r="AA320" s="29">
        <f>IFERROR(Z320/X320,"")</f>
        <v/>
      </c>
    </row>
    <row r="321">
      <c r="W321" s="21" t="n"/>
      <c r="X321" s="21" t="n"/>
      <c r="Z321" s="21" t="n"/>
      <c r="AA321" s="29">
        <f>IFERROR(Z321/X321,"")</f>
        <v/>
      </c>
    </row>
    <row r="322">
      <c r="W322" s="21" t="n"/>
      <c r="X322" s="21" t="n"/>
      <c r="Z322" s="21" t="n"/>
      <c r="AA322" s="29">
        <f>IFERROR(Z322/X322,"")</f>
        <v/>
      </c>
    </row>
    <row r="323">
      <c r="W323" s="21" t="n"/>
      <c r="X323" s="21" t="n"/>
      <c r="Z323" s="21" t="n"/>
      <c r="AA323" s="29">
        <f>IFERROR(Z323/X323,"")</f>
        <v/>
      </c>
    </row>
    <row r="324">
      <c r="W324" s="21" t="n"/>
      <c r="X324" s="21" t="n"/>
      <c r="Z324" s="21" t="n"/>
      <c r="AA324" s="29">
        <f>IFERROR(Z324/X324,"")</f>
        <v/>
      </c>
    </row>
    <row r="325">
      <c r="W325" s="21" t="n"/>
      <c r="X325" s="21" t="n"/>
      <c r="Z325" s="21" t="n"/>
      <c r="AA325" s="29">
        <f>IFERROR(Z325/X325,"")</f>
        <v/>
      </c>
    </row>
    <row r="326">
      <c r="W326" s="21" t="n"/>
      <c r="X326" s="21" t="n"/>
      <c r="Z326" s="21" t="n"/>
      <c r="AA326" s="29">
        <f>IFERROR(Z326/X326,"")</f>
        <v/>
      </c>
    </row>
    <row r="327">
      <c r="W327" s="21" t="n"/>
      <c r="X327" s="21" t="n"/>
      <c r="Z327" s="21" t="n"/>
      <c r="AA327" s="29">
        <f>IFERROR(Z327/X327,"")</f>
        <v/>
      </c>
    </row>
    <row r="328">
      <c r="W328" s="21" t="n"/>
      <c r="X328" s="21" t="n"/>
      <c r="Z328" s="21" t="n"/>
      <c r="AA328" s="29">
        <f>IFERROR(Z328/X328,"")</f>
        <v/>
      </c>
    </row>
    <row r="329">
      <c r="W329" s="21" t="n"/>
      <c r="X329" s="21" t="n"/>
      <c r="Z329" s="21" t="n"/>
      <c r="AA329" s="29">
        <f>IFERROR(Z329/X329,"")</f>
        <v/>
      </c>
    </row>
    <row r="330">
      <c r="W330" s="21" t="n"/>
      <c r="X330" s="21" t="n"/>
      <c r="Z330" s="21" t="n"/>
      <c r="AA330" s="29">
        <f>IFERROR(Z330/X330,"")</f>
        <v/>
      </c>
    </row>
    <row r="331">
      <c r="W331" s="21" t="n"/>
      <c r="X331" s="21" t="n"/>
      <c r="Z331" s="21" t="n"/>
      <c r="AA331" s="29">
        <f>IFERROR(Z331/X331,"")</f>
        <v/>
      </c>
    </row>
    <row r="332">
      <c r="W332" s="21" t="n"/>
      <c r="X332" s="21" t="n"/>
      <c r="Z332" s="21" t="n"/>
      <c r="AA332" s="29">
        <f>IFERROR(Z332/X332,"")</f>
        <v/>
      </c>
    </row>
    <row r="333">
      <c r="W333" s="21" t="n"/>
      <c r="X333" s="21" t="n"/>
      <c r="Z333" s="21" t="n"/>
      <c r="AA333" s="29">
        <f>IFERROR(Z333/X333,"")</f>
        <v/>
      </c>
    </row>
    <row r="334">
      <c r="W334" s="21" t="n"/>
      <c r="X334" s="21" t="n"/>
      <c r="Z334" s="21" t="n"/>
      <c r="AA334" s="29">
        <f>IFERROR(Z334/X334,"")</f>
        <v/>
      </c>
    </row>
    <row r="335">
      <c r="W335" s="21" t="n"/>
      <c r="X335" s="21" t="n"/>
      <c r="Z335" s="21" t="n"/>
      <c r="AA335" s="29">
        <f>IFERROR(Z335/X335,"")</f>
        <v/>
      </c>
    </row>
    <row r="336">
      <c r="W336" s="21" t="n"/>
      <c r="X336" s="21" t="n"/>
      <c r="Z336" s="21" t="n"/>
      <c r="AA336" s="29">
        <f>IFERROR(Z336/X336,"")</f>
        <v/>
      </c>
    </row>
    <row r="337">
      <c r="W337" s="21" t="n"/>
      <c r="X337" s="21" t="n"/>
      <c r="Z337" s="21" t="n"/>
      <c r="AA337" s="29">
        <f>IFERROR(Z337/X337,"")</f>
        <v/>
      </c>
    </row>
    <row r="338">
      <c r="W338" s="21" t="n"/>
      <c r="X338" s="21" t="n"/>
      <c r="Z338" s="21" t="n"/>
      <c r="AA338" s="29">
        <f>IFERROR(Z338/X338,"")</f>
        <v/>
      </c>
    </row>
    <row r="339">
      <c r="W339" s="21" t="n"/>
      <c r="X339" s="21" t="n"/>
      <c r="Z339" s="21" t="n"/>
      <c r="AA339" s="29">
        <f>IFERROR(Z339/X339,"")</f>
        <v/>
      </c>
    </row>
    <row r="340">
      <c r="W340" s="21" t="n"/>
      <c r="X340" s="21" t="n"/>
      <c r="Z340" s="21" t="n"/>
      <c r="AA340" s="29">
        <f>IFERROR(Z340/X340,"")</f>
        <v/>
      </c>
    </row>
    <row r="341">
      <c r="W341" s="21" t="n"/>
      <c r="X341" s="21" t="n"/>
      <c r="Z341" s="21" t="n"/>
      <c r="AA341" s="29">
        <f>IFERROR(Z341/X341,"")</f>
        <v/>
      </c>
    </row>
    <row r="342">
      <c r="W342" s="21" t="n"/>
      <c r="X342" s="21" t="n"/>
      <c r="Z342" s="21" t="n"/>
      <c r="AA342" s="29">
        <f>IFERROR(Z342/X342,"")</f>
        <v/>
      </c>
    </row>
    <row r="343">
      <c r="W343" s="21" t="n"/>
      <c r="X343" s="21" t="n"/>
      <c r="Z343" s="21" t="n"/>
      <c r="AA343" s="29">
        <f>IFERROR(Z343/X343,"")</f>
        <v/>
      </c>
    </row>
    <row r="344">
      <c r="W344" s="21" t="n"/>
      <c r="X344" s="21" t="n"/>
      <c r="Z344" s="21" t="n"/>
      <c r="AA344" s="29">
        <f>IFERROR(Z344/X344,"")</f>
        <v/>
      </c>
    </row>
    <row r="345">
      <c r="W345" s="21" t="n"/>
      <c r="X345" s="21" t="n"/>
      <c r="Z345" s="21" t="n"/>
      <c r="AA345" s="29">
        <f>IFERROR(Z345/X345,"")</f>
        <v/>
      </c>
    </row>
    <row r="346">
      <c r="W346" s="21" t="n"/>
      <c r="X346" s="21" t="n"/>
      <c r="Z346" s="21" t="n"/>
      <c r="AA346" s="29">
        <f>IFERROR(Z346/X346,"")</f>
        <v/>
      </c>
    </row>
    <row r="347">
      <c r="W347" s="21" t="n"/>
      <c r="X347" s="21" t="n"/>
      <c r="Z347" s="21" t="n"/>
      <c r="AA347" s="29">
        <f>IFERROR(Z347/X347,"")</f>
        <v/>
      </c>
    </row>
    <row r="348">
      <c r="W348" s="21" t="n"/>
      <c r="X348" s="21" t="n"/>
      <c r="Z348" s="21" t="n"/>
      <c r="AA348" s="29">
        <f>IFERROR(Z348/X348,"")</f>
        <v/>
      </c>
    </row>
    <row r="349">
      <c r="W349" s="21" t="n"/>
      <c r="X349" s="21" t="n"/>
      <c r="Z349" s="21" t="n"/>
      <c r="AA349" s="29">
        <f>IFERROR(Z349/X349,"")</f>
        <v/>
      </c>
    </row>
    <row r="350">
      <c r="W350" s="21" t="n"/>
      <c r="X350" s="21" t="n"/>
      <c r="Z350" s="21" t="n"/>
      <c r="AA350" s="29">
        <f>IFERROR(Z350/X350,"")</f>
        <v/>
      </c>
    </row>
    <row r="351">
      <c r="W351" s="21" t="n"/>
      <c r="X351" s="21" t="n"/>
      <c r="Z351" s="21" t="n"/>
      <c r="AA351" s="29">
        <f>IFERROR(Z351/X351,"")</f>
        <v/>
      </c>
    </row>
    <row r="352">
      <c r="W352" s="21" t="n"/>
      <c r="X352" s="21" t="n"/>
      <c r="Z352" s="21" t="n"/>
      <c r="AA352" s="29">
        <f>IFERROR(Z352/X352,"")</f>
        <v/>
      </c>
    </row>
    <row r="353">
      <c r="W353" s="21" t="n"/>
      <c r="X353" s="21" t="n"/>
      <c r="Z353" s="21" t="n"/>
      <c r="AA353" s="29">
        <f>IFERROR(Z353/X353,"")</f>
        <v/>
      </c>
    </row>
    <row r="354">
      <c r="W354" s="21" t="n"/>
      <c r="X354" s="21" t="n"/>
      <c r="Z354" s="21" t="n"/>
      <c r="AA354" s="29">
        <f>IFERROR(Z354/X354,"")</f>
        <v/>
      </c>
    </row>
    <row r="355">
      <c r="W355" s="21" t="n"/>
      <c r="X355" s="21" t="n"/>
      <c r="Z355" s="21" t="n"/>
      <c r="AA355" s="29">
        <f>IFERROR(Z355/X355,"")</f>
        <v/>
      </c>
    </row>
    <row r="356">
      <c r="W356" s="21" t="n"/>
      <c r="X356" s="21" t="n"/>
      <c r="Z356" s="21" t="n"/>
      <c r="AA356" s="29">
        <f>IFERROR(Z356/X356,"")</f>
        <v/>
      </c>
    </row>
    <row r="357">
      <c r="W357" s="21" t="n"/>
      <c r="X357" s="21" t="n"/>
      <c r="Z357" s="21" t="n"/>
      <c r="AA357" s="29">
        <f>IFERROR(Z357/X357,"")</f>
        <v/>
      </c>
    </row>
    <row r="358">
      <c r="W358" s="21" t="n"/>
      <c r="X358" s="21" t="n"/>
      <c r="Z358" s="21" t="n"/>
      <c r="AA358" s="29">
        <f>IFERROR(Z358/X358,"")</f>
        <v/>
      </c>
    </row>
    <row r="359">
      <c r="W359" s="21" t="n"/>
      <c r="X359" s="21" t="n"/>
      <c r="Z359" s="21" t="n"/>
      <c r="AA359" s="29">
        <f>IFERROR(Z359/X359,"")</f>
        <v/>
      </c>
    </row>
    <row r="360">
      <c r="W360" s="21" t="n"/>
      <c r="X360" s="21" t="n"/>
      <c r="Z360" s="21" t="n"/>
      <c r="AA360" s="29">
        <f>IFERROR(Z360/X360,"")</f>
        <v/>
      </c>
    </row>
    <row r="361">
      <c r="W361" s="21" t="n"/>
      <c r="X361" s="21" t="n"/>
      <c r="Z361" s="21" t="n"/>
      <c r="AA361" s="29">
        <f>IFERROR(Z361/X361,"")</f>
        <v/>
      </c>
    </row>
    <row r="362">
      <c r="W362" s="21" t="n"/>
      <c r="X362" s="21" t="n"/>
      <c r="Z362" s="21" t="n"/>
      <c r="AA362" s="29">
        <f>IFERROR(Z362/X362,"")</f>
        <v/>
      </c>
    </row>
    <row r="363">
      <c r="W363" s="21" t="n"/>
      <c r="X363" s="21" t="n"/>
      <c r="Z363" s="21" t="n"/>
      <c r="AA363" s="29">
        <f>IFERROR(Z363/X363,"")</f>
        <v/>
      </c>
    </row>
    <row r="364">
      <c r="W364" s="21" t="n"/>
      <c r="X364" s="21" t="n"/>
      <c r="Z364" s="21" t="n"/>
      <c r="AA364" s="29">
        <f>IFERROR(Z364/X364,"")</f>
        <v/>
      </c>
    </row>
    <row r="365">
      <c r="W365" s="21" t="n"/>
      <c r="X365" s="21" t="n"/>
      <c r="Z365" s="21" t="n"/>
      <c r="AA365" s="29">
        <f>IFERROR(Z365/X365,"")</f>
        <v/>
      </c>
    </row>
    <row r="366">
      <c r="W366" s="21" t="n"/>
      <c r="X366" s="21" t="n"/>
      <c r="Z366" s="21" t="n"/>
      <c r="AA366" s="29">
        <f>IFERROR(Z366/X366,"")</f>
        <v/>
      </c>
    </row>
    <row r="367">
      <c r="W367" s="21" t="n"/>
      <c r="X367" s="21" t="n"/>
      <c r="Z367" s="21" t="n"/>
      <c r="AA367" s="29">
        <f>IFERROR(Z367/X367,"")</f>
        <v/>
      </c>
    </row>
    <row r="368">
      <c r="W368" s="21" t="n"/>
      <c r="X368" s="21" t="n"/>
      <c r="Z368" s="21" t="n"/>
      <c r="AA368" s="29">
        <f>IFERROR(Z368/X368,"")</f>
        <v/>
      </c>
    </row>
    <row r="369">
      <c r="W369" s="21" t="n"/>
      <c r="X369" s="21" t="n"/>
      <c r="Z369" s="21" t="n"/>
      <c r="AA369" s="29">
        <f>IFERROR(Z369/X369,"")</f>
        <v/>
      </c>
    </row>
    <row r="370">
      <c r="W370" s="21" t="n"/>
      <c r="X370" s="21" t="n"/>
      <c r="Z370" s="21" t="n"/>
      <c r="AA370" s="29">
        <f>IFERROR(Z370/X370,"")</f>
        <v/>
      </c>
    </row>
    <row r="371">
      <c r="W371" s="21" t="n"/>
      <c r="X371" s="21" t="n"/>
      <c r="Z371" s="21" t="n"/>
      <c r="AA371" s="29">
        <f>IFERROR(Z371/X371,"")</f>
        <v/>
      </c>
    </row>
    <row r="372">
      <c r="W372" s="21" t="n"/>
      <c r="X372" s="21" t="n"/>
      <c r="Z372" s="21" t="n"/>
      <c r="AA372" s="29">
        <f>IFERROR(Z372/X372,"")</f>
        <v/>
      </c>
    </row>
    <row r="373">
      <c r="W373" s="21" t="n"/>
      <c r="X373" s="21" t="n"/>
      <c r="Z373" s="21" t="n"/>
      <c r="AA373" s="29">
        <f>IFERROR(Z373/X373,"")</f>
        <v/>
      </c>
    </row>
    <row r="374">
      <c r="W374" s="21" t="n"/>
      <c r="X374" s="21" t="n"/>
      <c r="Z374" s="21" t="n"/>
      <c r="AA374" s="29">
        <f>IFERROR(Z374/X374,"")</f>
        <v/>
      </c>
    </row>
    <row r="375">
      <c r="W375" s="21" t="n"/>
      <c r="X375" s="21" t="n"/>
      <c r="Z375" s="21" t="n"/>
      <c r="AA375" s="29">
        <f>IFERROR(Z375/X375,"")</f>
        <v/>
      </c>
    </row>
    <row r="376">
      <c r="W376" s="21" t="n"/>
      <c r="X376" s="21" t="n"/>
      <c r="Z376" s="21" t="n"/>
      <c r="AA376" s="29">
        <f>IFERROR(Z376/X376,"")</f>
        <v/>
      </c>
    </row>
    <row r="377">
      <c r="W377" s="21" t="n"/>
      <c r="X377" s="21" t="n"/>
      <c r="Z377" s="21" t="n"/>
      <c r="AA377" s="29">
        <f>IFERROR(Z377/X377,"")</f>
        <v/>
      </c>
    </row>
    <row r="378">
      <c r="W378" s="21" t="n"/>
      <c r="X378" s="21" t="n"/>
      <c r="Z378" s="21" t="n"/>
      <c r="AA378" s="29">
        <f>IFERROR(Z378/X378,"")</f>
        <v/>
      </c>
    </row>
    <row r="379">
      <c r="W379" s="21" t="n"/>
      <c r="X379" s="21" t="n"/>
      <c r="Z379" s="21" t="n"/>
      <c r="AA379" s="29">
        <f>IFERROR(Z379/X379,"")</f>
        <v/>
      </c>
    </row>
    <row r="380">
      <c r="W380" s="21" t="n"/>
      <c r="X380" s="21" t="n"/>
      <c r="Z380" s="21" t="n"/>
      <c r="AA380" s="29">
        <f>IFERROR(Z380/X380,"")</f>
        <v/>
      </c>
    </row>
    <row r="381">
      <c r="W381" s="21" t="n"/>
      <c r="X381" s="21" t="n"/>
      <c r="Z381" s="21" t="n"/>
      <c r="AA381" s="29">
        <f>IFERROR(Z381/X381,"")</f>
        <v/>
      </c>
    </row>
    <row r="382">
      <c r="W382" s="21" t="n"/>
      <c r="X382" s="21" t="n"/>
      <c r="Z382" s="21" t="n"/>
      <c r="AA382" s="29">
        <f>IFERROR(Z382/X382,"")</f>
        <v/>
      </c>
    </row>
    <row r="383">
      <c r="W383" s="21" t="n"/>
      <c r="X383" s="21" t="n"/>
      <c r="Z383" s="21" t="n"/>
      <c r="AA383" s="29">
        <f>IFERROR(Z383/X383,"")</f>
        <v/>
      </c>
    </row>
    <row r="384">
      <c r="W384" s="21" t="n"/>
      <c r="X384" s="21" t="n"/>
      <c r="Z384" s="21" t="n"/>
      <c r="AA384" s="29">
        <f>IFERROR(Z384/X384,"")</f>
        <v/>
      </c>
    </row>
    <row r="385">
      <c r="W385" s="21" t="n"/>
      <c r="X385" s="21" t="n"/>
      <c r="Z385" s="21" t="n"/>
      <c r="AA385" s="29">
        <f>IFERROR(Z385/X385,"")</f>
        <v/>
      </c>
    </row>
    <row r="386">
      <c r="W386" s="21" t="n"/>
      <c r="X386" s="21" t="n"/>
      <c r="Z386" s="21" t="n"/>
      <c r="AA386" s="29">
        <f>IFERROR(Z386/X386,"")</f>
        <v/>
      </c>
    </row>
    <row r="387">
      <c r="W387" s="21" t="n"/>
      <c r="X387" s="21" t="n"/>
      <c r="Z387" s="21" t="n"/>
      <c r="AA387" s="29">
        <f>IFERROR(Z387/X387,"")</f>
        <v/>
      </c>
    </row>
    <row r="388">
      <c r="W388" s="21" t="n"/>
      <c r="X388" s="21" t="n"/>
      <c r="Z388" s="21" t="n"/>
      <c r="AA388" s="29">
        <f>IFERROR(Z388/X388,"")</f>
        <v/>
      </c>
    </row>
    <row r="389">
      <c r="W389" s="21" t="n"/>
      <c r="X389" s="21" t="n"/>
      <c r="Z389" s="21" t="n"/>
      <c r="AA389" s="29">
        <f>IFERROR(Z389/X389,"")</f>
        <v/>
      </c>
    </row>
    <row r="390">
      <c r="W390" s="21" t="n"/>
      <c r="X390" s="21" t="n"/>
      <c r="Z390" s="21" t="n"/>
      <c r="AA390" s="29">
        <f>IFERROR(Z390/X390,"")</f>
        <v/>
      </c>
    </row>
    <row r="391">
      <c r="W391" s="21" t="n"/>
      <c r="X391" s="21" t="n"/>
      <c r="Z391" s="21" t="n"/>
      <c r="AA391" s="29">
        <f>IFERROR(Z391/X391,"")</f>
        <v/>
      </c>
    </row>
    <row r="392">
      <c r="W392" s="21" t="n"/>
      <c r="X392" s="21" t="n"/>
      <c r="Z392" s="21" t="n"/>
      <c r="AA392" s="29">
        <f>IFERROR(Z392/X392,"")</f>
        <v/>
      </c>
    </row>
    <row r="393">
      <c r="W393" s="21" t="n"/>
      <c r="X393" s="21" t="n"/>
      <c r="Z393" s="21" t="n"/>
      <c r="AA393" s="29">
        <f>IFERROR(Z393/X393,"")</f>
        <v/>
      </c>
    </row>
    <row r="394">
      <c r="W394" s="21" t="n"/>
      <c r="X394" s="21" t="n"/>
      <c r="Z394" s="21" t="n"/>
      <c r="AA394" s="29">
        <f>IFERROR(Z394/X394,"")</f>
        <v/>
      </c>
    </row>
    <row r="395">
      <c r="W395" s="21" t="n"/>
      <c r="X395" s="21" t="n"/>
      <c r="Z395" s="21" t="n"/>
      <c r="AA395" s="29">
        <f>IFERROR(Z395/X395,"")</f>
        <v/>
      </c>
    </row>
    <row r="396">
      <c r="W396" s="21" t="n"/>
      <c r="X396" s="21" t="n"/>
      <c r="Z396" s="21" t="n"/>
      <c r="AA396" s="29">
        <f>IFERROR(Z396/X396,"")</f>
        <v/>
      </c>
    </row>
    <row r="397">
      <c r="W397" s="21" t="n"/>
      <c r="X397" s="21" t="n"/>
      <c r="Z397" s="21" t="n"/>
      <c r="AA397" s="29">
        <f>IFERROR(Z397/X397,"")</f>
        <v/>
      </c>
    </row>
    <row r="398">
      <c r="W398" s="21" t="n"/>
      <c r="X398" s="21" t="n"/>
      <c r="Z398" s="21" t="n"/>
      <c r="AA398" s="29">
        <f>IFERROR(Z398/X398,"")</f>
        <v/>
      </c>
    </row>
    <row r="399">
      <c r="W399" s="21" t="n"/>
      <c r="X399" s="21" t="n"/>
      <c r="Z399" s="21" t="n"/>
      <c r="AA399" s="29">
        <f>IFERROR(Z399/X399,"")</f>
        <v/>
      </c>
    </row>
    <row r="400">
      <c r="W400" s="21" t="n"/>
      <c r="X400" s="21" t="n"/>
      <c r="Z400" s="21" t="n"/>
      <c r="AA400" s="29">
        <f>IFERROR(Z400/X400,"")</f>
        <v/>
      </c>
    </row>
    <row r="401">
      <c r="W401" s="21" t="n"/>
      <c r="X401" s="21" t="n"/>
      <c r="Z401" s="21" t="n"/>
      <c r="AA401" s="29">
        <f>IFERROR(Z401/X401,"")</f>
        <v/>
      </c>
    </row>
    <row r="402">
      <c r="W402" s="21" t="n"/>
      <c r="X402" s="21" t="n"/>
      <c r="Z402" s="21" t="n"/>
      <c r="AA402" s="29">
        <f>IFERROR(Z402/X402,"")</f>
        <v/>
      </c>
    </row>
    <row r="403">
      <c r="W403" s="21" t="n"/>
      <c r="X403" s="21" t="n"/>
      <c r="Z403" s="21" t="n"/>
      <c r="AA403" s="29">
        <f>IFERROR(Z403/X403,"")</f>
        <v/>
      </c>
    </row>
    <row r="404">
      <c r="W404" s="21" t="n"/>
      <c r="X404" s="21" t="n"/>
      <c r="Z404" s="21" t="n"/>
      <c r="AA404" s="29">
        <f>IFERROR(Z404/X404,"")</f>
        <v/>
      </c>
    </row>
    <row r="405">
      <c r="W405" s="21" t="n"/>
      <c r="X405" s="21" t="n"/>
      <c r="Z405" s="21" t="n"/>
      <c r="AA405" s="29">
        <f>IFERROR(Z405/X405,"")</f>
        <v/>
      </c>
    </row>
    <row r="406">
      <c r="W406" s="21" t="n"/>
      <c r="X406" s="21" t="n"/>
      <c r="Z406" s="21" t="n"/>
      <c r="AA406" s="29">
        <f>IFERROR(Z406/X406,"")</f>
        <v/>
      </c>
    </row>
    <row r="407">
      <c r="W407" s="21" t="n"/>
      <c r="X407" s="21" t="n"/>
      <c r="Z407" s="21" t="n"/>
      <c r="AA407" s="29">
        <f>IFERROR(Z407/X407,"")</f>
        <v/>
      </c>
    </row>
    <row r="408">
      <c r="W408" s="21" t="n"/>
      <c r="X408" s="21" t="n"/>
      <c r="Z408" s="21" t="n"/>
      <c r="AA408" s="29">
        <f>IFERROR(Z408/X408,"")</f>
        <v/>
      </c>
    </row>
    <row r="409">
      <c r="W409" s="21" t="n"/>
      <c r="X409" s="21" t="n"/>
      <c r="Z409" s="21" t="n"/>
      <c r="AA409" s="29">
        <f>IFERROR(Z409/X409,"")</f>
        <v/>
      </c>
    </row>
    <row r="410">
      <c r="W410" s="21" t="n"/>
      <c r="X410" s="21" t="n"/>
      <c r="Z410" s="21" t="n"/>
      <c r="AA410" s="29">
        <f>IFERROR(Z410/X410,"")</f>
        <v/>
      </c>
    </row>
    <row r="411">
      <c r="W411" s="21" t="n"/>
      <c r="X411" s="21" t="n"/>
      <c r="Z411" s="21" t="n"/>
      <c r="AA411" s="29">
        <f>IFERROR(Z411/X411,"")</f>
        <v/>
      </c>
    </row>
    <row r="412">
      <c r="W412" s="21" t="n"/>
      <c r="X412" s="21" t="n"/>
      <c r="Z412" s="21" t="n"/>
      <c r="AA412" s="29">
        <f>IFERROR(Z412/X412,"")</f>
        <v/>
      </c>
    </row>
    <row r="413">
      <c r="W413" s="21" t="n"/>
      <c r="X413" s="21" t="n"/>
      <c r="Z413" s="21" t="n"/>
      <c r="AA413" s="29">
        <f>IFERROR(Z413/X413,"")</f>
        <v/>
      </c>
    </row>
    <row r="414">
      <c r="W414" s="21" t="n"/>
      <c r="X414" s="21" t="n"/>
      <c r="Z414" s="21" t="n"/>
      <c r="AA414" s="29">
        <f>IFERROR(Z414/X414,"")</f>
        <v/>
      </c>
    </row>
    <row r="415">
      <c r="W415" s="21" t="n"/>
      <c r="X415" s="21" t="n"/>
      <c r="Z415" s="21" t="n"/>
      <c r="AA415" s="29">
        <f>IFERROR(Z415/X415,"")</f>
        <v/>
      </c>
    </row>
    <row r="416">
      <c r="W416" s="21" t="n"/>
      <c r="X416" s="21" t="n"/>
      <c r="Z416" s="21" t="n"/>
      <c r="AA416" s="29">
        <f>IFERROR(Z416/X416,"")</f>
        <v/>
      </c>
    </row>
    <row r="417">
      <c r="W417" s="21" t="n"/>
      <c r="X417" s="21" t="n"/>
      <c r="Z417" s="21" t="n"/>
      <c r="AA417" s="29">
        <f>IFERROR(Z417/X417,"")</f>
        <v/>
      </c>
    </row>
    <row r="418">
      <c r="W418" s="21" t="n"/>
      <c r="X418" s="21" t="n"/>
      <c r="Z418" s="21" t="n"/>
      <c r="AA418" s="29">
        <f>IFERROR(Z418/X418,"")</f>
        <v/>
      </c>
    </row>
    <row r="419">
      <c r="W419" s="21" t="n"/>
      <c r="X419" s="21" t="n"/>
      <c r="Z419" s="21" t="n"/>
      <c r="AA419" s="29">
        <f>IFERROR(Z419/X419,"")</f>
        <v/>
      </c>
    </row>
    <row r="420">
      <c r="W420" s="21" t="n"/>
      <c r="X420" s="21" t="n"/>
      <c r="Z420" s="21" t="n"/>
      <c r="AA420" s="29">
        <f>IFERROR(Z420/X420,"")</f>
        <v/>
      </c>
    </row>
    <row r="421">
      <c r="W421" s="21" t="n"/>
      <c r="X421" s="21" t="n"/>
      <c r="Z421" s="21" t="n"/>
      <c r="AA421" s="29">
        <f>IFERROR(Z421/X421,"")</f>
        <v/>
      </c>
    </row>
    <row r="422">
      <c r="W422" s="21" t="n"/>
      <c r="X422" s="21" t="n"/>
      <c r="Z422" s="21" t="n"/>
      <c r="AA422" s="29">
        <f>IFERROR(Z422/X422,"")</f>
        <v/>
      </c>
    </row>
    <row r="423">
      <c r="W423" s="21" t="n"/>
      <c r="X423" s="21" t="n"/>
      <c r="Z423" s="21" t="n"/>
      <c r="AA423" s="29">
        <f>IFERROR(Z423/X423,"")</f>
        <v/>
      </c>
    </row>
    <row r="424">
      <c r="W424" s="21" t="n"/>
      <c r="X424" s="21" t="n"/>
      <c r="Z424" s="21" t="n"/>
      <c r="AA424" s="29">
        <f>IFERROR(Z424/X424,"")</f>
        <v/>
      </c>
    </row>
    <row r="425">
      <c r="W425" s="21" t="n"/>
      <c r="X425" s="21" t="n"/>
      <c r="Z425" s="21" t="n"/>
      <c r="AA425" s="29">
        <f>IFERROR(Z425/X425,"")</f>
        <v/>
      </c>
    </row>
    <row r="426">
      <c r="W426" s="21" t="n"/>
      <c r="X426" s="21" t="n"/>
      <c r="Z426" s="21" t="n"/>
      <c r="AA426" s="29">
        <f>IFERROR(Z426/X426,"")</f>
        <v/>
      </c>
    </row>
    <row r="427">
      <c r="W427" s="21" t="n"/>
      <c r="X427" s="21" t="n"/>
      <c r="Z427" s="21" t="n"/>
      <c r="AA427" s="29">
        <f>IFERROR(Z427/X427,"")</f>
        <v/>
      </c>
    </row>
    <row r="428">
      <c r="W428" s="21" t="n"/>
      <c r="X428" s="21" t="n"/>
      <c r="Z428" s="21" t="n"/>
      <c r="AA428" s="29">
        <f>IFERROR(Z428/X428,"")</f>
        <v/>
      </c>
    </row>
    <row r="429">
      <c r="W429" s="21" t="n"/>
      <c r="X429" s="21" t="n"/>
      <c r="Z429" s="21" t="n"/>
      <c r="AA429" s="29">
        <f>IFERROR(Z429/X429,"")</f>
        <v/>
      </c>
    </row>
    <row r="430">
      <c r="W430" s="21" t="n"/>
      <c r="X430" s="21" t="n"/>
      <c r="Z430" s="21" t="n"/>
      <c r="AA430" s="29">
        <f>IFERROR(Z430/X430,"")</f>
        <v/>
      </c>
    </row>
    <row r="431">
      <c r="W431" s="21" t="n"/>
      <c r="X431" s="21" t="n"/>
      <c r="Z431" s="21" t="n"/>
      <c r="AA431" s="29">
        <f>IFERROR(Z431/X431,"")</f>
        <v/>
      </c>
    </row>
    <row r="432">
      <c r="W432" s="21" t="n"/>
      <c r="X432" s="21" t="n"/>
      <c r="Z432" s="21" t="n"/>
      <c r="AA432" s="29">
        <f>IFERROR(Z432/X432,"")</f>
        <v/>
      </c>
    </row>
    <row r="433">
      <c r="W433" s="21" t="n"/>
      <c r="X433" s="21" t="n"/>
      <c r="Z433" s="21" t="n"/>
      <c r="AA433" s="29">
        <f>IFERROR(Z433/X433,"")</f>
        <v/>
      </c>
    </row>
    <row r="434">
      <c r="W434" s="21" t="n"/>
      <c r="X434" s="21" t="n"/>
      <c r="Z434" s="21" t="n"/>
      <c r="AA434" s="29">
        <f>IFERROR(Z434/X434,"")</f>
        <v/>
      </c>
    </row>
    <row r="435">
      <c r="W435" s="21" t="n"/>
      <c r="X435" s="21" t="n"/>
      <c r="Z435" s="21" t="n"/>
      <c r="AA435" s="29">
        <f>IFERROR(Z435/X435,"")</f>
        <v/>
      </c>
    </row>
    <row r="436">
      <c r="W436" s="21" t="n"/>
      <c r="X436" s="21" t="n"/>
      <c r="Z436" s="21" t="n"/>
      <c r="AA436" s="29">
        <f>IFERROR(Z436/X436,"")</f>
        <v/>
      </c>
    </row>
    <row r="437">
      <c r="W437" s="21" t="n"/>
      <c r="X437" s="21" t="n"/>
      <c r="Z437" s="21" t="n"/>
      <c r="AA437" s="29">
        <f>IFERROR(Z437/X437,"")</f>
        <v/>
      </c>
    </row>
    <row r="438">
      <c r="W438" s="21" t="n"/>
      <c r="X438" s="21" t="n"/>
      <c r="Z438" s="21" t="n"/>
      <c r="AA438" s="29">
        <f>IFERROR(Z438/X438,"")</f>
        <v/>
      </c>
    </row>
    <row r="439">
      <c r="W439" s="21" t="n"/>
      <c r="X439" s="21" t="n"/>
      <c r="Z439" s="21" t="n"/>
      <c r="AA439" s="29">
        <f>IFERROR(Z439/X439,"")</f>
        <v/>
      </c>
    </row>
    <row r="440">
      <c r="W440" s="21" t="n"/>
      <c r="X440" s="21" t="n"/>
      <c r="Z440" s="21" t="n"/>
      <c r="AA440" s="29">
        <f>IFERROR(Z440/X440,"")</f>
        <v/>
      </c>
    </row>
    <row r="441">
      <c r="W441" s="21" t="n"/>
      <c r="X441" s="21" t="n"/>
      <c r="Z441" s="21" t="n"/>
      <c r="AA441" s="29">
        <f>IFERROR(Z441/X441,"")</f>
        <v/>
      </c>
    </row>
    <row r="442">
      <c r="W442" s="21" t="n"/>
      <c r="X442" s="21" t="n"/>
      <c r="Z442" s="21" t="n"/>
      <c r="AA442" s="29">
        <f>IFERROR(Z442/X442,"")</f>
        <v/>
      </c>
    </row>
    <row r="443">
      <c r="W443" s="21" t="n"/>
      <c r="X443" s="21" t="n"/>
      <c r="Z443" s="21" t="n"/>
      <c r="AA443" s="29">
        <f>IFERROR(Z443/X443,"")</f>
        <v/>
      </c>
    </row>
    <row r="444">
      <c r="W444" s="21" t="n"/>
      <c r="X444" s="21" t="n"/>
      <c r="Z444" s="21" t="n"/>
      <c r="AA444" s="29">
        <f>IFERROR(Z444/X444,"")</f>
        <v/>
      </c>
    </row>
    <row r="445">
      <c r="W445" s="21" t="n"/>
      <c r="X445" s="21" t="n"/>
      <c r="Z445" s="21" t="n"/>
      <c r="AA445" s="29">
        <f>IFERROR(Z445/X445,"")</f>
        <v/>
      </c>
    </row>
    <row r="446">
      <c r="W446" s="21" t="n"/>
      <c r="X446" s="21" t="n"/>
      <c r="Z446" s="21" t="n"/>
      <c r="AA446" s="29">
        <f>IFERROR(Z446/X446,"")</f>
        <v/>
      </c>
    </row>
    <row r="447">
      <c r="W447" s="21" t="n"/>
      <c r="X447" s="21" t="n"/>
      <c r="Z447" s="21" t="n"/>
      <c r="AA447" s="29">
        <f>IFERROR(Z447/X447,"")</f>
        <v/>
      </c>
    </row>
    <row r="448">
      <c r="W448" s="21" t="n"/>
      <c r="X448" s="21" t="n"/>
      <c r="Z448" s="21" t="n"/>
      <c r="AA448" s="29">
        <f>IFERROR(Z448/X448,"")</f>
        <v/>
      </c>
    </row>
    <row r="449">
      <c r="W449" s="21" t="n"/>
      <c r="X449" s="21" t="n"/>
      <c r="Z449" s="21" t="n"/>
      <c r="AA449" s="29">
        <f>IFERROR(Z449/X449,"")</f>
        <v/>
      </c>
    </row>
    <row r="450">
      <c r="W450" s="21" t="n"/>
      <c r="X450" s="21" t="n"/>
      <c r="Z450" s="21" t="n"/>
      <c r="AA450" s="29">
        <f>IFERROR(Z450/X450,"")</f>
        <v/>
      </c>
    </row>
    <row r="451">
      <c r="W451" s="21" t="n"/>
      <c r="X451" s="21" t="n"/>
      <c r="Z451" s="21" t="n"/>
      <c r="AA451" s="29">
        <f>IFERROR(Z451/X451,"")</f>
        <v/>
      </c>
    </row>
    <row r="452">
      <c r="W452" s="21" t="n"/>
      <c r="X452" s="21" t="n"/>
      <c r="Z452" s="21" t="n"/>
      <c r="AA452" s="29">
        <f>IFERROR(Z452/X452,"")</f>
        <v/>
      </c>
    </row>
    <row r="453">
      <c r="W453" s="21" t="n"/>
      <c r="X453" s="21" t="n"/>
      <c r="Z453" s="21" t="n"/>
      <c r="AA453" s="29">
        <f>IFERROR(Z453/X453,"")</f>
        <v/>
      </c>
    </row>
    <row r="454">
      <c r="W454" s="21" t="n"/>
      <c r="X454" s="21" t="n"/>
      <c r="Z454" s="21" t="n"/>
      <c r="AA454" s="29">
        <f>IFERROR(Z454/X454,"")</f>
        <v/>
      </c>
    </row>
    <row r="455">
      <c r="W455" s="21" t="n"/>
      <c r="X455" s="21" t="n"/>
      <c r="Z455" s="21" t="n"/>
      <c r="AA455" s="29">
        <f>IFERROR(Z455/X455,"")</f>
        <v/>
      </c>
    </row>
    <row r="456">
      <c r="W456" s="21" t="n"/>
      <c r="X456" s="21" t="n"/>
      <c r="Z456" s="21" t="n"/>
      <c r="AA456" s="29">
        <f>IFERROR(Z456/X456,"")</f>
        <v/>
      </c>
    </row>
    <row r="457">
      <c r="W457" s="21" t="n"/>
      <c r="X457" s="21" t="n"/>
      <c r="Z457" s="21" t="n"/>
      <c r="AA457" s="29">
        <f>IFERROR(Z457/X457,"")</f>
        <v/>
      </c>
    </row>
    <row r="458">
      <c r="W458" s="21" t="n"/>
      <c r="X458" s="21" t="n"/>
      <c r="Z458" s="21" t="n"/>
      <c r="AA458" s="29">
        <f>IFERROR(Z458/X458,"")</f>
        <v/>
      </c>
    </row>
    <row r="459">
      <c r="W459" s="21" t="n"/>
      <c r="X459" s="21" t="n"/>
      <c r="Z459" s="21" t="n"/>
      <c r="AA459" s="29">
        <f>IFERROR(Z459/X459,"")</f>
        <v/>
      </c>
    </row>
    <row r="460">
      <c r="W460" s="21" t="n"/>
      <c r="X460" s="21" t="n"/>
      <c r="Z460" s="21" t="n"/>
      <c r="AA460" s="29">
        <f>IFERROR(Z460/X460,"")</f>
        <v/>
      </c>
    </row>
    <row r="461">
      <c r="W461" s="21" t="n"/>
      <c r="X461" s="21" t="n"/>
      <c r="Z461" s="21" t="n"/>
      <c r="AA461" s="29">
        <f>IFERROR(Z461/X461,"")</f>
        <v/>
      </c>
    </row>
    <row r="462">
      <c r="W462" s="21" t="n"/>
      <c r="X462" s="21" t="n"/>
      <c r="Z462" s="21" t="n"/>
      <c r="AA462" s="29">
        <f>IFERROR(Z462/X462,"")</f>
        <v/>
      </c>
    </row>
    <row r="463">
      <c r="W463" s="21" t="n"/>
      <c r="X463" s="21" t="n"/>
      <c r="Z463" s="21" t="n"/>
      <c r="AA463" s="29">
        <f>IFERROR(Z463/X463,"")</f>
        <v/>
      </c>
    </row>
    <row r="464">
      <c r="W464" s="21" t="n"/>
      <c r="X464" s="21" t="n"/>
      <c r="Z464" s="21" t="n"/>
      <c r="AA464" s="29">
        <f>IFERROR(Z464/X464,"")</f>
        <v/>
      </c>
    </row>
    <row r="465">
      <c r="W465" s="21" t="n"/>
      <c r="X465" s="21" t="n"/>
      <c r="Z465" s="21" t="n"/>
      <c r="AA465" s="29">
        <f>IFERROR(Z465/X465,"")</f>
        <v/>
      </c>
    </row>
    <row r="466">
      <c r="W466" s="21" t="n"/>
      <c r="X466" s="21" t="n"/>
      <c r="Z466" s="21" t="n"/>
      <c r="AA466" s="29">
        <f>IFERROR(Z466/X466,"")</f>
        <v/>
      </c>
    </row>
    <row r="467">
      <c r="W467" s="21" t="n"/>
      <c r="X467" s="21" t="n"/>
      <c r="Z467" s="21" t="n"/>
      <c r="AA467" s="29">
        <f>IFERROR(Z467/X467,"")</f>
        <v/>
      </c>
    </row>
    <row r="468">
      <c r="W468" s="21" t="n"/>
      <c r="X468" s="21" t="n"/>
      <c r="Z468" s="21" t="n"/>
      <c r="AA468" s="29">
        <f>IFERROR(Z468/X468,"")</f>
        <v/>
      </c>
    </row>
    <row r="469">
      <c r="W469" s="21" t="n"/>
      <c r="X469" s="21" t="n"/>
      <c r="Z469" s="21" t="n"/>
      <c r="AA469" s="29">
        <f>IFERROR(Z469/X469,"")</f>
        <v/>
      </c>
    </row>
    <row r="470">
      <c r="W470" s="21" t="n"/>
      <c r="X470" s="21" t="n"/>
      <c r="Z470" s="21" t="n"/>
      <c r="AA470" s="29">
        <f>IFERROR(Z470/X470,"")</f>
        <v/>
      </c>
    </row>
    <row r="471">
      <c r="W471" s="21" t="n"/>
      <c r="X471" s="21" t="n"/>
      <c r="Z471" s="21" t="n"/>
      <c r="AA471" s="29">
        <f>IFERROR(Z471/X471,"")</f>
        <v/>
      </c>
    </row>
    <row r="472">
      <c r="W472" s="21" t="n"/>
      <c r="X472" s="21" t="n"/>
      <c r="Z472" s="21" t="n"/>
      <c r="AA472" s="29">
        <f>IFERROR(Z472/X472,"")</f>
        <v/>
      </c>
    </row>
    <row r="473">
      <c r="W473" s="21" t="n"/>
      <c r="X473" s="21" t="n"/>
      <c r="Z473" s="21" t="n"/>
      <c r="AA473" s="29">
        <f>IFERROR(Z473/X473,"")</f>
        <v/>
      </c>
    </row>
    <row r="474">
      <c r="W474" s="21" t="n"/>
      <c r="X474" s="21" t="n"/>
      <c r="Z474" s="21" t="n"/>
      <c r="AA474" s="29">
        <f>IFERROR(Z474/X474,"")</f>
        <v/>
      </c>
    </row>
    <row r="475">
      <c r="W475" s="21" t="n"/>
      <c r="X475" s="21" t="n"/>
      <c r="Z475" s="21" t="n"/>
      <c r="AA475" s="29">
        <f>IFERROR(Z475/X475,"")</f>
        <v/>
      </c>
    </row>
    <row r="476">
      <c r="W476" s="21" t="n"/>
      <c r="X476" s="21" t="n"/>
      <c r="Z476" s="21" t="n"/>
      <c r="AA476" s="29">
        <f>IFERROR(Z476/X476,"")</f>
        <v/>
      </c>
    </row>
    <row r="477">
      <c r="W477" s="21" t="n"/>
      <c r="X477" s="21" t="n"/>
      <c r="Z477" s="21" t="n"/>
      <c r="AA477" s="29">
        <f>IFERROR(Z477/X477,"")</f>
        <v/>
      </c>
    </row>
    <row r="478">
      <c r="W478" s="21" t="n"/>
      <c r="X478" s="21" t="n"/>
      <c r="Z478" s="21" t="n"/>
      <c r="AA478" s="29">
        <f>IFERROR(Z478/X478,"")</f>
        <v/>
      </c>
    </row>
    <row r="479">
      <c r="W479" s="21" t="n"/>
      <c r="X479" s="21" t="n"/>
      <c r="Z479" s="21" t="n"/>
      <c r="AA479" s="29">
        <f>IFERROR(Z479/X479,"")</f>
        <v/>
      </c>
    </row>
    <row r="480">
      <c r="W480" s="21" t="n"/>
      <c r="X480" s="21" t="n"/>
      <c r="Z480" s="21" t="n"/>
      <c r="AA480" s="29">
        <f>IFERROR(Z480/X480,"")</f>
        <v/>
      </c>
    </row>
    <row r="481">
      <c r="W481" s="21" t="n"/>
      <c r="X481" s="21" t="n"/>
      <c r="Z481" s="21" t="n"/>
      <c r="AA481" s="29">
        <f>IFERROR(Z481/X481,"")</f>
        <v/>
      </c>
    </row>
    <row r="482">
      <c r="W482" s="21" t="n"/>
      <c r="X482" s="21" t="n"/>
      <c r="Z482" s="21" t="n"/>
      <c r="AA482" s="29">
        <f>IFERROR(Z482/X482,"")</f>
        <v/>
      </c>
    </row>
    <row r="483">
      <c r="W483" s="21" t="n"/>
      <c r="X483" s="21" t="n"/>
      <c r="Z483" s="21" t="n"/>
      <c r="AA483" s="29">
        <f>IFERROR(Z483/X483,"")</f>
        <v/>
      </c>
    </row>
    <row r="484">
      <c r="W484" s="21" t="n"/>
      <c r="X484" s="21" t="n"/>
      <c r="Z484" s="21" t="n"/>
      <c r="AA484" s="29">
        <f>IFERROR(Z484/X484,"")</f>
        <v/>
      </c>
    </row>
    <row r="485">
      <c r="W485" s="21" t="n"/>
      <c r="X485" s="21" t="n"/>
      <c r="Z485" s="21" t="n"/>
      <c r="AA485" s="29">
        <f>IFERROR(Z485/X485,"")</f>
        <v/>
      </c>
    </row>
    <row r="486">
      <c r="W486" s="21" t="n"/>
      <c r="X486" s="21" t="n"/>
      <c r="Z486" s="21" t="n"/>
      <c r="AA486" s="29">
        <f>IFERROR(Z486/X486,"")</f>
        <v/>
      </c>
    </row>
    <row r="487">
      <c r="W487" s="21" t="n"/>
      <c r="X487" s="21" t="n"/>
      <c r="Z487" s="21" t="n"/>
      <c r="AA487" s="29">
        <f>IFERROR(Z487/X487,"")</f>
        <v/>
      </c>
    </row>
    <row r="488">
      <c r="W488" s="21" t="n"/>
      <c r="X488" s="21" t="n"/>
      <c r="Z488" s="21" t="n"/>
      <c r="AA488" s="29">
        <f>IFERROR(Z488/X488,"")</f>
        <v/>
      </c>
    </row>
    <row r="489">
      <c r="W489" s="21" t="n"/>
      <c r="X489" s="21" t="n"/>
      <c r="Z489" s="21" t="n"/>
      <c r="AA489" s="29">
        <f>IFERROR(Z489/X489,"")</f>
        <v/>
      </c>
    </row>
    <row r="490">
      <c r="W490" s="21" t="n"/>
      <c r="X490" s="21" t="n"/>
      <c r="Z490" s="21" t="n"/>
      <c r="AA490" s="29">
        <f>IFERROR(Z490/X490,"")</f>
        <v/>
      </c>
    </row>
    <row r="491">
      <c r="W491" s="21" t="n"/>
      <c r="X491" s="21" t="n"/>
      <c r="Z491" s="21" t="n"/>
      <c r="AA491" s="29">
        <f>IFERROR(Z491/X491,"")</f>
        <v/>
      </c>
    </row>
    <row r="492">
      <c r="W492" s="21" t="n"/>
      <c r="X492" s="21" t="n"/>
      <c r="Z492" s="21" t="n"/>
      <c r="AA492" s="29">
        <f>IFERROR(Z492/X492,"")</f>
        <v/>
      </c>
    </row>
    <row r="493">
      <c r="W493" s="21" t="n"/>
      <c r="X493" s="21" t="n"/>
      <c r="Z493" s="21" t="n"/>
      <c r="AA493" s="29">
        <f>IFERROR(Z493/X493,"")</f>
        <v/>
      </c>
    </row>
    <row r="494">
      <c r="W494" s="21" t="n"/>
      <c r="X494" s="21" t="n"/>
      <c r="Z494" s="21" t="n"/>
      <c r="AA494" s="29">
        <f>IFERROR(Z494/X494,"")</f>
        <v/>
      </c>
    </row>
    <row r="495">
      <c r="W495" s="21" t="n"/>
      <c r="X495" s="21" t="n"/>
      <c r="Z495" s="21" t="n"/>
      <c r="AA495" s="29">
        <f>IFERROR(Z495/X495,"")</f>
        <v/>
      </c>
    </row>
    <row r="496">
      <c r="W496" s="21" t="n"/>
      <c r="X496" s="21" t="n"/>
      <c r="Z496" s="21" t="n"/>
      <c r="AA496" s="29">
        <f>IFERROR(Z496/X496,"")</f>
        <v/>
      </c>
    </row>
    <row r="497">
      <c r="W497" s="21" t="n"/>
      <c r="X497" s="21" t="n"/>
      <c r="Z497" s="21" t="n"/>
      <c r="AA497" s="29">
        <f>IFERROR(Z497/X497,"")</f>
        <v/>
      </c>
    </row>
    <row r="498">
      <c r="W498" s="21" t="n"/>
      <c r="X498" s="21" t="n"/>
      <c r="Z498" s="21" t="n"/>
      <c r="AA498" s="29">
        <f>IFERROR(Z498/X498,"")</f>
        <v/>
      </c>
    </row>
    <row r="499">
      <c r="W499" s="21" t="n"/>
      <c r="X499" s="21" t="n"/>
      <c r="Z499" s="21" t="n"/>
      <c r="AA499" s="29">
        <f>IFERROR(Z499/X499,"")</f>
        <v/>
      </c>
    </row>
    <row r="500">
      <c r="W500" s="21" t="n"/>
      <c r="X500" s="21" t="n"/>
      <c r="Z500" s="21" t="n"/>
      <c r="AA500" s="29">
        <f>IFERROR(Z500/X500,"")</f>
        <v/>
      </c>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tabColor rgb="00E8E0F5"/>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tabColor rgb="00D6EEF1"/>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tabColor rgb="00FFF2CC"/>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tabColor rgb="00D9D9D9"/>
    <outlinePr summaryBelow="1" summaryRight="1"/>
    <pageSetUpPr/>
  </sheetPr>
  <dimension ref="A1:B54"/>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row r="13">
      <c r="A13" s="87" t="inlineStr">
        <is>
          <t>Hawaii</t>
        </is>
      </c>
      <c r="B13" s="87" t="inlineStr">
        <is>
          <t>Hawaii,Honolulu,Kalawao,Kauai,Maui</t>
        </is>
      </c>
    </row>
    <row r="14">
      <c r="A14" s="87" t="inlineStr">
        <is>
          <t>Idaho</t>
        </is>
      </c>
      <c r="B14" s="87" t="inlineStr">
        <is>
          <t>Ada,Adams,Bannock,Bear Lake,Benewah,Bingham,Blaine,Boise,Bonner,Bonneville,Boundary,Butte,Camas,Canyon,Caribou,Cassia,Clark,Clearwater,Custer,Elmore,Franklin,Fremont,Gem,Gooding,Idaho,Jefferson,Jerome,Kootenai,Latah,Lemhi,Lewis,Lincoln,Madison,Minidoka,Nez Perce,Oneida,Owyhee,Payette,Power,Shoshone,Teton,Twin Falls,Valley,Washington</t>
        </is>
      </c>
    </row>
    <row r="15">
      <c r="A15" s="87" t="inlineStr">
        <is>
          <t>Illinois</t>
        </is>
      </c>
      <c r="B15" s="87" t="inlineStr">
        <is>
          <t>Adams,Alexander,Bond,Boone,Brown,Bureau,Calhoun,Carroll,Cass,Champaign,Christian,Clark,Clay,Clinton,Coles,Cook,Crawford,Cumberland,DeKalb,De Witt,Douglas,DuPage,Edgar,Edwards,Effingham,Fayette,Ford,Franklin,Fulton,Gallatin,Greene,Grundy,Hamilton,Hancock,Hardin,Henderson,Henry,Iroquois,Jackson,Jasper,Jefferson,Jersey,Jo Daviess,Johnson,Kane,Kankakee,Kendall,Knox,Lake,LaSalle,Lawrence,Lee,Livingston,Logan,Macon,Macoupin,Madison,Marion,Marshall,Mason,Massac,McDonough,McHenry,McLean,Menard,Mercer,Monroe,Montgomery,Morgan,Moultrie,Ogle,Peoria,Perry,Piatt,Pike,Pope,Pulaski,Putnam,Randolph,Richland,Rock Island,Saline,Sangamon,Schuyler,Scott,Shelby,St. Clair,Stark,Stephenson,Tazewell,Union,Vermilion,Wabash,Warren,Washington,Wayne,White,Whiteside,Will,Williamson,Winnebago,Woodford</t>
        </is>
      </c>
    </row>
    <row r="16">
      <c r="A16" s="87" t="inlineStr">
        <is>
          <t>Indiana</t>
        </is>
      </c>
      <c r="B16" s="87" t="inlineStr">
        <is>
          <t>Adams,Allen,Bartholomew,Benton,Blackford,Boone,Brown,Carroll,Cass,Clark,Clay,Clinton,Crawford,Daviess,Dearborn,Decatur,DeKalb,Delaware,Dubois,Elkhart,Fayette,Floyd,Fountain,Franklin,Fulton,Gibson,Grant,Greene,Hamilton,Hancock,Harrison,Hendricks,Henry,Howard,Huntington,Jackson,Jasper,Jay,Jefferson,Jennings,Johnson,Knox,Kosciusko,LaGrange,Lake,LaPorte,Lawrence,Madison,Marion,Marshall,Martin,Miami,Monroe,Montgomery,Morgan,Newton,Noble,Ohio,Orange,Owen,Parke,Perry,Pike,Porter,Posey,Pulaski,Putnam,Randolph,Ripley,Rush,Scott,Shelby,Spencer,St. Joseph,Starke,Steuben,Sullivan,Switzerland,Tippecanoe,Tipton,Union,Vanderburgh,Vermillion,Vigo,Wabash,Warren,Warrick,Washington,Wayne,Wells,White,Whitley</t>
        </is>
      </c>
    </row>
    <row r="17">
      <c r="A17" s="87" t="inlineStr">
        <is>
          <t>Iowa</t>
        </is>
      </c>
      <c r="B17" s="87" t="inlineStr">
        <is>
          <t>Adair,Adams,Allamakee,Appanoose,Audubon,Benton,Black Hawk,Boone,Bremer,Buchanan,Buena Vista,Butler,Calhoun,Carroll,Cass,Cedar,Cerro Gordo,Cherokee,Chickasaw,Clarke,Clay,Clayton,Clinton,Crawford,Dallas,Davis,Decatur,Delaware,Des Moines,Dickinson,Dubuque,Emmet,Fayette,Floyd,Franklin,Fremont,Greene,Grundy,Guthrie,Hamilton,Hancock,Hardin,Harrison,Henry,Howard,Humboldt,Ida,Iowa,Jackson,Jasper,Jefferson,Johnson,Jones,Keokuk,Kossuth,Lee,Linn,Louisa,Lucas,Lyon,Madison,Mahaska,Marion,Marshall,Mills,Mitchell,Monona,Monroe,Montgomery,Muscatine,O'Brien,Osceola,Page,Palo Alto,Plymouth,Pocahontas,Polk,Pottawattamie,Poweshiek,Ringgold,Sac,Scott,Shelby,Sioux,Story,Tama,Taylor,Union,Van Buren,Wapello,Warren,Washington,Wayne,Webster,Winnebago,Winneshiek,Woodbury,Worth,Wright</t>
        </is>
      </c>
    </row>
    <row r="18">
      <c r="A18" s="87" t="inlineStr">
        <is>
          <t>Kansas</t>
        </is>
      </c>
      <c r="B18" s="87" t="inlineStr">
        <is>
          <t>Allen,Anderson,Atchison,Barber,Barton,Bourbon,Brown,Butler,Chase,Chautauqua,Cherokee,Cheyenne,Clark,Clay,Cloud,Coffey,Comanche,Cowley,Crawford,Decatur,Dickinson,Doniphan,Douglas,Edwards,Elk,Ellis,Ellsworth,Finney,Ford,Franklin,Geary,Gove,Graham,Grant,Gray,Greeley,Greenwood,Hamilton,Harper,Harvey,Haskell,Hodgeman,Jackson,Jefferson,Jewell,Johnson,Kearny,Kingman,Kiowa,Labette,Lane,Leavenworth,Lincoln,Linn,Logan,Lyon,Marion,Marshall,McPherson,Meade,Miami,Mitchell,Montgomery,Morris,Morton,Nemaha,Neosho,Ness,Norton,Osage,Osborne,Ottawa,Pawnee,Phillips,Pottawatomie,Pratt,Rawlins,Reno,Republic,Rice,Riley,Rooks,Rush,Russell,Saline,Scott,Sedgwick,Seward,Shawnee,Sheridan,Sherman,Smith,Stafford,Stanton,Stevens,Sumner,Thomas,Trego,Wabaunsee,Wallace,Washington,Wichita,Wilson,Woodson,Wyandotte</t>
        </is>
      </c>
    </row>
    <row r="19">
      <c r="A19" s="87" t="inlineStr">
        <is>
          <t>Kentucky</t>
        </is>
      </c>
      <c r="B19" s="87" t="inlineStr">
        <is>
          <t>Adair,Allen,Anderson,Ballard,Barren,Bath,Bell,Boone,Bourbon,Boyd,Boyle,Bracken,Breathitt,Breckinridge,Bullitt,Butler,Caldwell,Calloway,Campbell,Carlisle,Carroll,Carter,Casey,Christian,Clark,Clay,Clinton,Crittenden,Cumberland,Daviess,Edmonson,Elliott,Estill,Fayette,Fleming,Floyd,Franklin,Fulton,Gallatin,Garrard,Grant,Graves,Grayson,Green,Greenup,Hancock,Hardin,Harlan,Harrison,Hart,Henderson,Henry,Hickman,Hopkins,Jackson,Jefferson,Jessamine,Johnson,Kenton,Knott,Knox,Larue,Laurel,Lawrence,Lee,Leslie,Letcher,Lewis,Lincoln,Livingston,Logan,Lyon,Madison,Magoffin,Marion,Marshall,Martin,Mason,McCracken,McCreary,McLean,Meade,Menifee,Mercer,Metcalfe,Monroe,Montgomery,Morgan,Muhlenberg,Nelson,Nicholas,Ohio,Oldham,Owen,Owsley,Pendleton,Perry,Pike,Powell,Pulaski,Robertson,Rockcastle,Rowan,Russell,Scott,Shelby,Simpson,Spencer,Taylor,Todd,Trigg,Trimble,Union,Warren,Washington,Wayne,Webster,Whitley,Wolfe,Woodford</t>
        </is>
      </c>
    </row>
    <row r="20">
      <c r="A20" s="87" t="inlineStr">
        <is>
          <t>Louisiana</t>
        </is>
      </c>
      <c r="B20" s="87" t="inlineStr">
        <is>
          <t>Acadia,Allen,Ascension,Assumption,Avoyelles,Beauregard,Bienville,Bossier,Caddo,Calcasieu,Caldwell,Cameron,Catahoula,Claiborne,Concordia,De Soto,East Baton Rouge,East Carroll,East Feliciana,Evangeline,Franklin,Grant,Iberia,Iberville,Jackson,Jefferson,Jefferson Davis,La Salle,Lafayette,Lafourche,Lincoln,Livingston,Madison,Morehouse,Natchitoches,Orleans,Ouachita,Plaquemines,Pointe Coupee,Rapides,Red River,Richland,Sabine,St. Bernard,St. Charles,St. Helena,St. James,St. John the Baptist,St. Landry,St. Martin,St. Mary,St. Tammany,Tangipahoa,Tensas,Terrebonne,Union,Vermilion,Vernon,Washington,Webster,West Baton Rouge,West Carroll,West Feliciana,Winn</t>
        </is>
      </c>
    </row>
    <row r="21">
      <c r="A21" s="87" t="inlineStr">
        <is>
          <t>Maine</t>
        </is>
      </c>
      <c r="B21" s="87" t="inlineStr">
        <is>
          <t>Androscoggin,Aroostook,Cumberland,Franklin,Hancock,Kennebec,Knox,Lincoln,Oxford,Penobscot,Piscataquis,Sagadahoc,Somerset,Waldo,Washington,York</t>
        </is>
      </c>
    </row>
    <row r="22">
      <c r="A22" s="87" t="inlineStr">
        <is>
          <t>Maryland</t>
        </is>
      </c>
      <c r="B22" s="87" t="inlineStr">
        <is>
          <t>Allegany,Anne Arundel,Baltimore,Baltimore City,Calvert,Caroline,Carroll,Cecil,Charles,Dorchester,Frederick,Garrett,Harford,Howard,Kent,Montgomery,Prince Georges,Queen Annes,Somerset,St. Marys,Talbot,Washington,Wicomico,Worcester</t>
        </is>
      </c>
    </row>
    <row r="23">
      <c r="A23" s="87" t="inlineStr">
        <is>
          <t>Massachusetts</t>
        </is>
      </c>
      <c r="B23" s="87" t="inlineStr">
        <is>
          <t>Barnstable,Berkshire,Bristol,Dukes,Essex,Franklin,Hampden,Hampshire,Middlesex,Nantucket,Norfolk,Plymouth,Suffolk,Worcester</t>
        </is>
      </c>
    </row>
    <row r="24">
      <c r="A24" s="87" t="inlineStr">
        <is>
          <t>Michigan</t>
        </is>
      </c>
      <c r="B24" s="87" t="inlineStr">
        <is>
          <t>Alcona,Alger,Allegan,Alpena,Antrim,Arenac,Baraga,Barry,Bay,Benzie,Berrien,Branch,Calhoun,Cass,Charlevoix,Cheboygan,Chippewa,Clare,Clinton,Crawford,Delta,Dickinson,Eaton,Emmet,Genesee,Gladwin,Gogebic,Grand Traverse,Gratiot,Hillsdale,Houghton,Huron,Ingham,Ionia,Iosco,Iron,Isabella,Jackson,Kalamazoo,Kalkaska,Kent,Keweenaw,Lake,Lapeer,Leelanau,Lenawee,Livingston,Luce,Mackinac,Macomb,Manistee,Marquette,Mason,Mecosta,Menominee,Midland,Missaukee,Monroe,Montcalm,Montmorency,Muskegon,Newaygo,Oakland,Oceana,Ogemaw,Ontonagon,Osceola,Oscoda,Otsego,Ottawa,Presque Isle,Roscommon,Saginaw,Sanilac,Schoolcraft,Shiawassee,St. Clair,St. Joseph,Tuscola,Van Buren,Washtenaw,Wayne,Wexford</t>
        </is>
      </c>
    </row>
    <row r="25">
      <c r="A25" s="87" t="inlineStr">
        <is>
          <t>Minnesota</t>
        </is>
      </c>
      <c r="B25" s="87" t="inlineStr">
        <is>
          <t>Aitkin,Anoka,Becker,Beltrami,Benton,Big Stone,Blue Earth,Brown,Carlton,Carver,Cass,Chippewa,Chisago,Clay,Clearwater,Cook,Cottonwood,Crow Wing,Dakota,Dodge,Douglas,Faribault,Fillmore,Freeborn,Goodhue,Grant,Hennepin,Houston,Hubbard,Isanti,Itasca,Jackson,Kanabec,Kandiyohi,Kittson,Koochiching,Lac qui Parle,Lake,Lake of the Woods,Le Sueur,Lincoln,Lyon,Mahnomen,Marshall,Martin,McLeod,Meeker,Mille Lacs,Morrison,Mower,Murray,Nicollet,Nobles,Norman,Olmsted,Otter Tail,Pennington,Pine,Pipestone,Polk,Pope,Ramsey,Red Lake,Redwood,Renville,Rice,Rock,Roseau,Scott,Sherburne,Sibley,St. Louis,Stearns,Steele,Stevens,Swift,Todd,Traverse,Wabasha,Wadena,Waseca,Washington,Watonwan,Wilkin,Winona,Wright,Yellow Medicine</t>
        </is>
      </c>
    </row>
    <row r="26">
      <c r="A26" s="87" t="inlineStr">
        <is>
          <t>Mississippi</t>
        </is>
      </c>
      <c r="B26" s="87" t="inlineStr">
        <is>
          <t>Adams,Alcorn,Amite,Attala,Benton,Bolivar,Calhoun,Carroll,Chickasaw,Choctaw,Claiborne,Clarke,Clay,Coahoma,Copiah,Covington,De Soto,Forrest,Franklin,George,Greene,Grenada,Hancock,Harrison,Hinds,Holmes,Humphreys,Issaquena,Itawamba,Jackson,Jasper,Jefferson,Jefferson Davis,Jones,Kemper,Lafayette,Lamar,Lauderdale,Lawrence,Leake,Lee,Leflore,Lincoln,Lowndes,Madison,Marion,Marshall,Monroe,Montgomery,Neshoba,Newton,Noxubee,Oktibbeha,Panola,Pearl River,Perry,Pike,Pontotoc,Prentiss,Quitman,Rankin,Scott,Sharkey,Simpson,Smith,Stone,Sunflower,Tallahatchie,Tate,Tippah,Tishomingo,Tunica,Union,Walthall,Warren,Washington,Wayne,Webster,Wilkinson,Winston,Yalobusha,Yazoo</t>
        </is>
      </c>
    </row>
    <row r="27">
      <c r="A27" s="87" t="inlineStr">
        <is>
          <t>Missouri</t>
        </is>
      </c>
      <c r="B27" s="87" t="inlineStr">
        <is>
          <t>Adair,Andrew,Atchison,Audrain,Barry,Barton,Bates,Benton,Bollinger,Boone,Buchanan,Butler,Caldwell,Callaway,Camden,Cape Girardeau,Carroll,Carter,Cass,Cedar,Chariton,Christian,Clark,Clay,Clinton,Cole,Cooper,Crawford,Dade,Dallas,Daviess,DeKalb,Dent,Douglas,Dunklin,Franklin,Gasconade,Gentry,Greene,Grundy,Harrison,Henry,Hickory,Holt,Howard,Howell,Iron,Jackson,Jasper,Jefferson,Johnson,Knox,Laclede,Lafayette,Lawrence,Lewis,Lincoln,Linn,Livingston,Macon,Madison,Maries,Marion,McDonald,Mercer,Miller,Mississippi,Moniteau,Monroe,Montgomery,Morgan,New Madrid,Newton,Nodaway,Oregon,Osage,Ozark,Pemiscot,Perry,Pettis,Phelps,Pike,Platte,Polk,Pulaski,Putnam,Ralls,Randolph,Ray,Reynolds,Ripley,St. Charles,St. Clair,St. Francois,St. Louis,St. Louis City,Ste. Genevieve,Saline,Schuyler,Scotland,Scott,Shannon,Shelby,Stoddard,Stone,Sullivan,Taney,Texas,Vernon,Warren,Washington,Wayne,Webster,Worth,Wright</t>
        </is>
      </c>
    </row>
    <row r="28">
      <c r="A28" s="87" t="inlineStr">
        <is>
          <t>Montana</t>
        </is>
      </c>
      <c r="B28" s="87" t="inlineStr">
        <is>
          <t>Beaverhead,Big Horn,Blaine,Broadwater,Carbon,Carter,Cascade,Chouteau,Custer,Daniels,Dawson,Deer Lodge,Fallon,Fergus,Flathead,Gallatin,Garfield,Glacier,Golden Valley,Granite,Hill,Jefferson,Judith Basin,Lake,Lewis and Clark,Liberty,Lincoln,Madison,McCone,Meagher,Mineral,Missoula,Musselshell,Park,Petroleum,Phillips,Pondera,Powder River,Powell,Prairie,Ravalli,Richland,Roosevelt,Rosebud,Sanders,Sheridan,Silver Bow,Stillwater,Sweet Grass,Teton,Toole,Treasure,Valley,Wheatland,Wibaux,Yellowstone</t>
        </is>
      </c>
    </row>
    <row r="29">
      <c r="A29" s="87" t="inlineStr">
        <is>
          <t>Nebraska</t>
        </is>
      </c>
      <c r="B29" s="87" t="inlineStr">
        <is>
          <t>Adams,Antelope,Arthur,Banner,Blaine,Boone,Box Butte,Boyd,Brown,Buffalo,Burt,Butler,Cass,Cedar,Chase,Cherry,Cheyenne,Clay,Colfax,Cuming,Custer,Dakota,Dawes,Dawson,Deuel,Dixon,Dodge,Douglas,Dundy,Fillmore,Franklin,Frontier,Furnas,Gage,Garden,Garfield,Gosper,Grant,Greeley,Hall,Hamilton,Harlan,Hayes,Hitchcock,Holt,Hooker,Howard,Jefferson,Johnson,Kearney,Keith,Keya Paha,Kimball,Knox,Lancaster,Lincoln,Logan,Loup,Madison,McPherson,Merrick,Morrill,Nance,Nemaha,Nuckolls,Otoe,Pawnee,Perkins,Phelps,Pierce,Platte,Polk,Red Willow,Richardson,Rock,Saline,Sarpy,Saunders,Scotts Bluff,Seward,Sheridan,Sherman,Sioux,Stanton,Thayer,Thomas,Thurston,Valley,Washington,Wayne,Webster,Wheeler,York</t>
        </is>
      </c>
    </row>
    <row r="30">
      <c r="A30" s="87" t="inlineStr">
        <is>
          <t>Nevada</t>
        </is>
      </c>
      <c r="B30" s="87" t="inlineStr">
        <is>
          <t>Carson City,Churchill,Clark,Douglas,Elko,Esmeralda,Eureka,Humboldt,Lander,Lincoln,Lyon,Mineral,Nye,Pershing,Storey,Washoe,White Pine</t>
        </is>
      </c>
    </row>
    <row r="31">
      <c r="A31" s="87" t="inlineStr">
        <is>
          <t>New Hampshire</t>
        </is>
      </c>
      <c r="B31" s="87" t="inlineStr">
        <is>
          <t>Belknap,Carroll,Cheshire,Coos,Grafton,Hillsborough,Merrimack,Rockingham,Strafford,Sullivan</t>
        </is>
      </c>
    </row>
    <row r="32">
      <c r="A32" s="87" t="inlineStr">
        <is>
          <t>New Jersey</t>
        </is>
      </c>
      <c r="B32" s="87" t="inlineStr">
        <is>
          <t>Atlantic,Bergen,Burlington,Camden,Cape May,Cumberland,Essex,Gloucester,Hudson,Hunterdon,Mercer,Middlesex,Monmouth,Morris,Ocean,Passaic,Salem,Somerset,Sussex,Union,Warren</t>
        </is>
      </c>
    </row>
    <row r="33">
      <c r="A33" s="87" t="inlineStr">
        <is>
          <t>New Mexico</t>
        </is>
      </c>
      <c r="B33" s="87" t="inlineStr">
        <is>
          <t>Bernalillo,Catron,Chaves,Cibola,Colfax,Curry,De Baca,Dona Ana,Eddy,Grant,Guadalupe,Harding,Hidalgo,Lea,Lincoln,Los Alamos,Luna,McKinley,Mora,Otero,Quay,Rio Arriba,Roosevelt,Sandoval,San Juan,San Miguel,Santa Fe,Sierra,Socorro,Taos,Torrance,Union,Valencia</t>
        </is>
      </c>
    </row>
    <row r="34">
      <c r="A34" s="87" t="inlineStr">
        <is>
          <t>New York</t>
        </is>
      </c>
      <c r="B34" s="87" t="inlineStr">
        <is>
          <t>Albany,Allegany,Bronx,Broome,Cattaraugus,Cayuga,Chautauqua,Chemung,Chenango,Clinton,Columbia,Cortland,Delaware,Dutchess,Erie,Essex,Franklin,Fulton,Genesee,Greene,Hamilton,Herkimer,Jefferson,Kings,Lewis,Livingston,Madison,Monroe,Montgomery,Nassau,New York,Niagara,Oneida,Onondaga,Ontario,Orange,Orleans,Oswego,Otsego,Putnam,Queens,Rensselaer,Richmond,Rockland,St. Lawrence,Saratoga,Schenectady,Schoharie,Schuyler,Seneca,Steuben,Suffolk,Sullivan,Tioga,Tompkins,Ulster,Warren,Washington,Wayne,Westchester,Wyoming,Yates</t>
        </is>
      </c>
    </row>
    <row r="35">
      <c r="A35" s="87" t="inlineStr">
        <is>
          <t>North Carolina</t>
        </is>
      </c>
      <c r="B35" s="87" t="inlineStr">
        <is>
          <t>Alamance,Alexander,Alleghany,Anson,Ashe,Avery,Beaufort,Bertie,Bladen,Brunswick,Buncombe,Burke,Cabarrus,Caldwell,Camden,Carteret,Caswell,Catawba,Chatham,Cherokee,Chowan,Clay,Cleveland,Columbus,Craven,Cumberland,Currituck,Dare,Davidson,Davie,Duplin,Durham,Edgecombe,Forsyth,Franklin,Gaston,Gates,Graham,Granville,Greene,Guilford,Halifax,Harnett,Haywood,Henderson,Hertford,Hoke,Hyde,Iredell,Jackson,Johnston,Jones,Lee,Lenoir,Lincoln,Macon,Madison,Martin,McDowell,Mecklenburg,Mitchell,Montgomery,Moore,Nash,New Hanover,Northampton,Onslow,Orange,Pamlico,Pasquotank,Pender,Perquimans,Person,Pitt,Polk,Randolph,Richmond,Robeson,Rockingham,Rowan,Rutherford,Sampson,Scotland,Stanly,Stokes,Surry,Swain,Transylvania,Tyrrell,Union,Vance,Wake,Warren,Washington,Watauga,Wayne,Wilkes,Wilson,Yadkin,Yancey</t>
        </is>
      </c>
    </row>
    <row r="36">
      <c r="A36" s="87" t="inlineStr">
        <is>
          <t>North Dakota</t>
        </is>
      </c>
      <c r="B36" s="87" t="inlineStr">
        <is>
          <t>Adams,Barnes,Benson,Billings,Bottineau,Bowman,Burke,Burleigh,Cass,Cavalier,Dickey,Divide,Dunn,Eddy,Emmons,Foster,Golden Valley,Grand Forks,Grant,Griggs,Hettinger,Kidder,LaMoure,Logan,McHenry,McIntosh,McKenzie,McLean,Mercer,Morton,Mountrail,Nelson,Oliver,Pembina,Pierce,Ramsey,Ransom,Renville,Richland,Rolette,Sargent,Sheridan,Sioux,Slope,Stark,Steele,Stutsman,Towner,Traill,Walsh,Ward,Wells,Williams</t>
        </is>
      </c>
    </row>
    <row r="37">
      <c r="A37" s="87" t="inlineStr">
        <is>
          <t>Ohio</t>
        </is>
      </c>
      <c r="B37" s="87" t="inlineStr">
        <is>
          <t>Adams,Allen,Ashland,Ashtabula,Athens,Auglaize,Belmont,Brown,Butler,Carroll,Champaign,Clark,Clermont,Clinton,Columbiana,Coshocton,Crawford,Cuyahoga,Darke,Defiance,Delaware,Erie,Fairfield,Fayette,Franklin,Fulton,Gallia,Geauga,Greene,Guernsey,Hamilton,Hancock,Hardin,Harrison,Henry,Highland,Hocking,Holmes,Huron,Jackson,Jefferson,Knox,Lake,Lawrence,Licking,Logan,Lorain,Lucas,Madison,Mahoning,Marion,Medina,Meigs,Mercer,Miami,Monroe,Montgomery,Morgan,Morrow,Muskingum,Noble,Ottawa,Paulding,Perry,Pickaway,Pike,Portage,Preble,Putnam,Richland,Ross,Sandusky,Scioto,Seneca,Shelby,Stark,Summit,Trumbull,Tuscarawas,Union,Van Wert,Vinton,Warren,Washington,Wayne,Williams,Wood,Wyandot</t>
        </is>
      </c>
    </row>
    <row r="38">
      <c r="A38" s="87" t="inlineStr">
        <is>
          <t>Oklahoma</t>
        </is>
      </c>
      <c r="B38" s="87" t="inlineStr">
        <is>
          <t>Adair,Alfalfa,Atoka,Beaver,Beckham,Blaine,Bryan,Caddo,Canadian,Carter,Cherokee,Choctaw,Cimarron,Cleveland,Coal,Comanche,Cotton,Craig,Creek,Custer,Delaware,Dewey,Ellis,Garfield,Garvin,Grady,Grant,Greer,Harmon,Harper,Haskell,Hughes,Jackson,Jefferson,Johnston,Kay,Kingfisher,Kiowa,Latimer,Le Flore,Lincoln,Logan,Love,Major,Marshall,Mayes,McClain,McCurtain,McIntosh,Murray,Muskogee,Noble,Nowata,Okfuskee,Oklahoma,Okmulgee,Osage,Ottawa,Pawnee,Payne,Pittsburg,Pontotoc,Pottawatomie,Pushmataha,Roger Mills,Rogers,Seminole,Sequoyah,Stephens,Texas,Tillman,Tulsa,Wagoner,Washington,Washita,Woods,Woodward</t>
        </is>
      </c>
    </row>
    <row r="39">
      <c r="A39" s="87" t="inlineStr">
        <is>
          <t>Oregon</t>
        </is>
      </c>
      <c r="B39" s="87" t="inlineStr">
        <is>
          <t>Baker,Benton,Clackamas,Clatsop,Columbia,Coos,Crook,Curry,Deschutes,Douglas,Gilliam,Grant,Harney,Hood River,Jackson,Jefferson,Josephine,Klamath,Lake,Lane,Lincoln,Linn,Malheur,Marion,Morrow,Multnomah,Polk,Sherman,Tillamook,Umatilla,Union,Wallowa,Wasco,Washington,Wheeler,Yamhill</t>
        </is>
      </c>
    </row>
    <row r="40">
      <c r="A40" s="87" t="inlineStr">
        <is>
          <t>Pennsylvania</t>
        </is>
      </c>
      <c r="B40" s="87" t="inlineStr">
        <is>
          <t>Adams,Allegheny,Armstrong,Beaver,Bedford,Berks,Blair,Bradford,Bucks,Butler,Cambria,Cameron,Carbon,Centre,Chester,Clarion,Clearfield,Clinton,Columbia,Crawford,Cumberland,Dauphin,Delaware,Elk,Erie,Fayette,Forest,Franklin,Fulton,Greene,Huntingdon,Indiana,Jefferson,Juniata,Lackawanna,Lancaster,Lawrence,Lebanon,Lehigh,Luzerne,Lycoming,McKean,Mercer,Mifflin,Monroe,Montgomery,Montour,Northampton,Northumberland,Perry,Philadelphia,Pike,Potter,Schuylkill,Snyder,Somerset,Sullivan,Susquehanna,Tioga,Union,Venango,Warren,Washington,Wayne,Westmoreland,Wyoming,York</t>
        </is>
      </c>
    </row>
    <row r="41">
      <c r="A41" s="87" t="inlineStr">
        <is>
          <t>Rhode Island</t>
        </is>
      </c>
      <c r="B41" s="87" t="inlineStr">
        <is>
          <t>Bristol,Kent,Newport,Providence,Washington</t>
        </is>
      </c>
    </row>
    <row r="42">
      <c r="A42" s="87" t="inlineStr">
        <is>
          <t>South Carolina</t>
        </is>
      </c>
      <c r="B42" s="87" t="inlineStr">
        <is>
          <t>Abbeville,Aiken,Allendale,Anderson,Bamberg,Barnwell,Beaufort,Berkeley,Calhoun,Charleston,Cherokee,Chester,Chesterfield,Clarendon,Colleton,Darlington,Dillon,Dorchester,Edgefield,Fairfield,Florence,Georgetown,Greenville,Greenwood,Hampton,Horry,Jasper,Kershaw,Lancaster,Laurens,Lee,Lexington,Marion,Marlboro,McCormick,Newberry,Oconee,Orangeburg,Pickens,Richland,Saluda,Spartanburg,Sumter,Union,Williamsburg,York</t>
        </is>
      </c>
    </row>
    <row r="43">
      <c r="A43" s="87" t="inlineStr">
        <is>
          <t>South Dakota</t>
        </is>
      </c>
      <c r="B43" s="87" t="inlineStr">
        <is>
          <t>Aurora,Beadle,Bennett,Bon Homme,Brookings,Brown,Brule,Buffalo,Butte,Campbell,Charles Mix,Clark,Clay,Codington,Corson,Custer,Davison,Day,Deuel,Dewey,Douglas,Edmunds,Fall River,Faulk,Grant,Gregory,Haakon,Hamlin,Hand,Hanson,Harding,Hughes,Hutchinson,Hyde,Jackson,Jerauld,Jones,Kingsbury,Lake,Lawrence,Lincoln,Lyman,Marshall,McCook,McPherson,Meade,Mellette,Miner,Minnehaha,Moody,Pennington,Perkins,Potter,Roberts,Sanborn,Spink,Stanley,Sully,Todd,Tripp,Turner,Union,Walworth,Yankton,Ziebach</t>
        </is>
      </c>
    </row>
    <row r="44">
      <c r="A44" s="87" t="inlineStr">
        <is>
          <t>Tennessee</t>
        </is>
      </c>
      <c r="B44" s="87" t="inlineStr">
        <is>
          <t>Anderson,Bedford,Benton,Bledsoe,Blount,Bradley,Campbell,Cannon,Carroll,Carter,Cheatham,Chester,Claiborne,Clay,Cocke,Coffee,Crockett,Cumberland,Davidson,Decatur,DeKalb,Dickson,Dyer,Fayette,Fentress,Franklin,Gibson,Giles,Grainger,Greene,Grundy,Hamblen,Hamilton,Hancock,Hardeman,Hardin,Hawkins,Haywood,Henderson,Henry,Hickman,Houston,Humphreys,Jackson,Jefferson,Johnson,Knox,Lake,Lauderdale,Lawrence,Lewis,Lincoln,Loudon,Macon,Madison,Marion,Marshall,Maury,McMinn,McNairy,Meigs,Monroe,Montgomery,Moore,Morgan,Obion,Overton,Perry,Pickett,Polk,Putnam,Rhea,Roane,Robertson,Rutherford,Scott,Sequatchie,Sevier,Shelby,Smith,Stewart,Sullivan,Sumner,Tipton,Trousdale,Unicoi,Union,Van Buren,Warren,Washington,Wayne,Weakley,White,Williamson,Wilson</t>
        </is>
      </c>
    </row>
    <row r="45">
      <c r="A45" s="87" t="inlineStr">
        <is>
          <t>Texas</t>
        </is>
      </c>
      <c r="B45" s="87" t="inlineStr">
        <is>
          <t>Anderson,Andrews,Angelina,Aransas,Archer,Armstrong,Atascosa,Austin,Bailey,Bandera,Bastrop,Baylor,Bee,Bell,Bexar,Blanco,Borden,Bosque,Bowie,Brazoria,Brazos,Brewster,Briscoe,Brooks,Brown,Burleson,Burnet,Caldwell,Calhoun,Callahan,Cameron,Camp,Carson,Cass,Castro,Chambers,Cherokee,Childress,Clay,Cochran,Coke,Coleman,Collin,Collingsworth,Colorado,Comal,Comanche,Concho,Cooke,Coryell,Cottle,Crane,Crockett,Crosby,Culberson,Dallam,Dallas,Dawson,Deaf Smith,Delta,Denton,DeWitt,Dickens,Dimmit,Donley,Duval,Eastland,Ector,Edwards,El Paso,Ellis,Erath,Falls,Fannin,Fayette,Fisher,Floyd,Foard,Fort Bend,Franklin,Freestone,Frio,Gaines,Galveston,Garza,Gillespie,Glasscock,Goliad,Gonzales,Gray,Grayson,Gregg,Grimes,Guadalupe,Hale,Hall,Hamilton,Hansford,Hardeman,Hardin,Harris,Harrison,Hartley,Haskell,Hays,Hemphill,Henderson,Hidalgo,Hill,Hockley,Hood,Hopkins,Houston,Howard,Hudspeth,Hunt,Hutchinson,Irion,Jack,Jackson,Jasper,Jeff Davis,Jefferson,Jim Hogg,Jim Wells,Johnson,Jones,Karnes,Kaufman,Kendall,Kenedy,Kent,Kerr,Kimble,King,Kinney,Kleberg,Knox,La Salle,Lamar,Lamb,Lampasas,Lavaca,Lee,Leon,Liberty,Limestone,Lipscomb,Live Oak,Llano,Loving,Lubbock,Lynn,Madison,Marion,Martin,Mason,Matagorda,Maverick,McCulloch,McLennan,McMullen,Medina,Menard,Midland,Milam,Mills,Mitchell,Montague,Montgomery,Moore,Morris,Motley,Nacogdoches,Navarro,Newton,Nolan,Nueces,Ochiltree,Oldham,Orange,Palo Pinto,Panola,Parker,Parmer,Pecos,Polk,Potter,Presidio,Rains,Randall,Reagan,Real,Red River,Reeves,Refugio,Roberts,Robertson,Rockwall,Runnels,Rusk,Sabine,San Augustine,San Jacinto,San Patricio,San Saba,Schleicher,Scurry,Shackelford,Shelby,Sherman,Smith,Somervell,Starr,Stephens,Sterling,Stonewall,Sutton,Swisher,Tarrant,Taylor,Terrell,Terry,Throckmorton,Titus,Tom Green,Travis,Trinity,Tyler,Upshur,Upton,Uvalde,Val Verde,Van Zandt,Victoria,Walker,Waller,Ward,Washington,Webb,Wharton,Wheeler,Wichita,Wilbarger,Willacy,Williamson,Wilson,Winkler,Wise,Wood,Yoakum,Young,Zapata,Zavala</t>
        </is>
      </c>
    </row>
    <row r="46">
      <c r="A46" s="87" t="inlineStr">
        <is>
          <t>Utah</t>
        </is>
      </c>
      <c r="B46" s="87" t="inlineStr">
        <is>
          <t>Beaver,Box Elder,Cache,Carbon,Daggett,Davis,Duchesne,Emery,Garfield,Grand,Iron,Juab,Kane,Millard,Morgan,Piute,Rich,Salt Lake,San Juan,Sanpete,Sevier,Summit,Tooele,Uintah,Utah,Wasatch,Washington,Wayne,Weber</t>
        </is>
      </c>
    </row>
    <row r="47">
      <c r="A47" s="87" t="inlineStr">
        <is>
          <t>Vermont</t>
        </is>
      </c>
      <c r="B47" s="87" t="inlineStr">
        <is>
          <t>Addison,Bennington,Caledonia,Chittenden,Essex,Franklin,Grand Isle,Lamoille,Orange,Orleans,Rutland,Washington,Windham,Windsor</t>
        </is>
      </c>
    </row>
    <row r="48">
      <c r="A48" s="87" t="inlineStr">
        <is>
          <t>Virginia</t>
        </is>
      </c>
      <c r="B48" s="87" t="inlineStr">
        <is>
          <t>Accomack,Albemarle,Alleghany,Amelia,Amherst,Appomattox,Arlington,Augusta,Bath,Bedford,Bland,Botetourt,Brunswick,Buchanan,Buckingham,Campbell,Caroline,Carroll,Charles City,Charlotte,Chesterfield,Clarke,Craig,Culpeper,Cumberland,Dickenson,Dinwiddie,Essex,Fairfax,Fauquier,Floyd,Fluvanna,Franklin,Frederick,Giles,Gloucester,Goochland,Grayson,Greene,Greensville,Halifax,Hanover,Henrico,Henry,Highland,Isle of Wight,James City,King and Queen,King George,King William,Lancaster,Lee,Loudoun,Louisa,Lunenburg,Madison,Mathews,Mecklenburg,Middlesex,Montgomery,Nelson,New Kent,Northampton,Northumberland,Nottoway,Orange,Page,Patrick,Pittsylvania,Powhatan,Prince Edward,Prince George,Prince William,Pulaski,Rappahannock,Richmond,Roanoke,Rockbridge,Rockingham,Russell,Scott,Shenandoah,Smyth,Southampton,Spotsylvania,Stafford,Surry,Sussex,Tazewell,Warren,Washington,Westmoreland,Wise,Wythe,York</t>
        </is>
      </c>
    </row>
    <row r="49">
      <c r="A49" s="87" t="inlineStr">
        <is>
          <t>Washington</t>
        </is>
      </c>
      <c r="B49" s="87" t="inlineStr">
        <is>
          <t>Adams,Asotin,Benton,Chelan,Clallam,Clark,Columbia,Cowlitz,Douglas,Ferry,Franklin,Garfield,Grant,Grays Harbor,Island,Jefferson,King,Kitsap,Kittitas,Klickitat,Lewis,Lincoln,Mason,Okanogan,Pacific,Pend Oreille,Pierce,San Juan,Skagit,Skamania,Snohomish,Spokane,Stevens,Thurston,Wahkiakum,Walla Walla,Whatcom,Whitman,Yakima</t>
        </is>
      </c>
    </row>
    <row r="50">
      <c r="A50" s="87" t="inlineStr">
        <is>
          <t>West Virginia</t>
        </is>
      </c>
      <c r="B50" s="87" t="inlineStr">
        <is>
          <t>Barbour,Berkeley,Boone,Braxton,Brooke,Cabell,Calhoun,Clay,Doddridge,Fayette,Gilmer,Grant,Greenbrier,Hampshire,Hancock,Hardy,Harrison,Jackson,Jefferson,Kanawha,Lewis,Lincoln,Logan,Marion,Marshall,Mason,McDowell,Mercer,Mineral,Mingo,Monongalia,Monroe,Morgan,Nicholas,Ohio,Pendleton,Pleasants,Pocahontas,Preston,Putnam,Raleigh,Randolph,Ritchie,Roane,Summers,Taylor,Tucker,Tyler,Upshur,Wayne,Webster,Wetzel,Wirt,Wood,Wyoming</t>
        </is>
      </c>
    </row>
    <row r="51">
      <c r="A51" s="87" t="inlineStr">
        <is>
          <t>Wisconsin</t>
        </is>
      </c>
      <c r="B51" s="87" t="inlineStr">
        <is>
          <t>Adams,Ashland,Barron,Bayfield,Brown,Buffalo,Burnett,Calumet,Chippewa,Clark,Columbia,Crawford,Dane,Dodge,Door,Douglas,Dunn,Eau Claire,Florence,Fond du Lac,Forest,Grant,Green,Green Lake,Iowa,Iron,Jackson,Jefferson,Juneau,Kenosha,Kewaunee,La Crosse,Lafayette,Langlade,Lincoln,Manitowoc,Marathon,Marinette,Marquette,Menominee,Milwaukee,Monroe,Oconto,Oneida,Outagamie,Ozaukee,Pepin,Pierce,Polk,Portage,Price,Racine,Richland,Rock,Rusk,Sauk,Sawyer,Shawano,Sheboygan,St. Croix,Taylor,Trempealeau,Vernon,Vilas,Walworth,Washburn,Washington,Waukesha,Waupaca,Waushara,Winnebago,Wood</t>
        </is>
      </c>
    </row>
    <row r="52">
      <c r="A52" s="87" t="inlineStr">
        <is>
          <t>Wyoming</t>
        </is>
      </c>
      <c r="B52" s="87" t="inlineStr">
        <is>
          <t>Albany,Big Horn,Campbell,Carbon,Converse,Crook,Fremont,Goshen,Hot Springs,Johnson,Laramie,Lincoln,Natrona,Niobrara,Park,Platte,Sheridan,Sublette,Sweetwater,Teton,Uinta,Washakie,Weston</t>
        </is>
      </c>
    </row>
    <row r="53">
      <c r="A53" s="87" t="inlineStr">
        <is>
          <t>District of Columbia</t>
        </is>
      </c>
      <c r="B53" s="87" t="inlineStr">
        <is>
          <t>District of Columbia</t>
        </is>
      </c>
    </row>
    <row r="54"/>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2026-05-08T09:59:52Z</dcterms:modified>
</cp:coreProperties>
</file>